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-pulycort\Documentos Pulycort\OTRA DOCUMENTACION\ACTUALIZACION PROGRAMA\ODOO-NEW\"/>
    </mc:Choice>
  </mc:AlternateContent>
  <bookViews>
    <workbookView xWindow="240" yWindow="16905" windowWidth="14805" windowHeight="8010"/>
  </bookViews>
  <sheets>
    <sheet name="84 Otros Trabajos PV1 revisar" sheetId="5" r:id="rId1"/>
  </sheets>
  <definedNames>
    <definedName name="_xlnm.Print_Titles" localSheetId="0">'84 Otros Trabajos PV1 revisar'!$C:$C,'84 Otros Trabajos PV1 revisar'!$1:$4</definedName>
  </definedNames>
  <calcPr calcId="162913"/>
</workbook>
</file>

<file path=xl/calcChain.xml><?xml version="1.0" encoding="utf-8"?>
<calcChain xmlns="http://schemas.openxmlformats.org/spreadsheetml/2006/main">
  <c r="L117" i="5" l="1"/>
  <c r="L116" i="5"/>
  <c r="L115" i="5"/>
  <c r="L114" i="5"/>
  <c r="L113" i="5"/>
  <c r="L110" i="5"/>
  <c r="I109" i="5"/>
  <c r="L108" i="5"/>
  <c r="I108" i="5"/>
  <c r="I107" i="5"/>
  <c r="L106" i="5"/>
  <c r="I106" i="5"/>
  <c r="L105" i="5"/>
  <c r="L104" i="5"/>
  <c r="L103" i="5"/>
  <c r="L102" i="5"/>
  <c r="L100" i="5"/>
  <c r="L98" i="5"/>
  <c r="L96" i="5"/>
  <c r="L93" i="5"/>
  <c r="L91" i="5"/>
  <c r="L89" i="5"/>
  <c r="L88" i="5"/>
  <c r="L87" i="5"/>
  <c r="L85" i="5"/>
  <c r="L83" i="5"/>
  <c r="L81" i="5"/>
  <c r="L79" i="5"/>
  <c r="I78" i="5"/>
  <c r="L77" i="5"/>
  <c r="I77" i="5"/>
  <c r="I76" i="5"/>
  <c r="L75" i="5"/>
  <c r="I75" i="5"/>
  <c r="I74" i="5"/>
  <c r="L73" i="5"/>
  <c r="I73" i="5"/>
  <c r="I72" i="5"/>
  <c r="L71" i="5"/>
  <c r="I71" i="5"/>
  <c r="L67" i="5"/>
  <c r="I67" i="5"/>
  <c r="L66" i="5"/>
  <c r="L65" i="5"/>
  <c r="L64" i="5"/>
  <c r="L62" i="5"/>
  <c r="L61" i="5"/>
  <c r="L60" i="5"/>
  <c r="L59" i="5"/>
  <c r="L58" i="5"/>
  <c r="L56" i="5"/>
  <c r="L54" i="5"/>
  <c r="I53" i="5"/>
  <c r="L52" i="5"/>
  <c r="I52" i="5"/>
  <c r="I51" i="5"/>
  <c r="L50" i="5"/>
  <c r="I50" i="5"/>
  <c r="I49" i="5"/>
  <c r="L48" i="5"/>
  <c r="I48" i="5"/>
  <c r="I47" i="5"/>
  <c r="L46" i="5"/>
  <c r="I46" i="5"/>
  <c r="I44" i="5"/>
  <c r="L43" i="5"/>
  <c r="I43" i="5"/>
  <c r="I42" i="5"/>
  <c r="L41" i="5"/>
  <c r="I41" i="5"/>
  <c r="I40" i="5"/>
  <c r="L39" i="5"/>
  <c r="I39" i="5"/>
  <c r="I38" i="5"/>
  <c r="L37" i="5"/>
  <c r="I37" i="5"/>
  <c r="I36" i="5"/>
  <c r="I35" i="5"/>
  <c r="I34" i="5"/>
  <c r="L33" i="5"/>
  <c r="I33" i="5"/>
  <c r="I31" i="5"/>
  <c r="L30" i="5"/>
  <c r="I30" i="5"/>
  <c r="I29" i="5"/>
  <c r="L28" i="5"/>
  <c r="I28" i="5"/>
  <c r="I26" i="5"/>
  <c r="L25" i="5"/>
  <c r="I25" i="5"/>
  <c r="I24" i="5"/>
  <c r="L23" i="5"/>
  <c r="I23" i="5"/>
  <c r="I22" i="5"/>
  <c r="L21" i="5"/>
  <c r="I21" i="5"/>
  <c r="I20" i="5"/>
  <c r="L19" i="5"/>
  <c r="I19" i="5"/>
  <c r="L18" i="5"/>
  <c r="L17" i="5"/>
  <c r="I12" i="5"/>
  <c r="I11" i="5"/>
  <c r="L10" i="5"/>
  <c r="I10" i="5"/>
  <c r="L9" i="5"/>
  <c r="I9" i="5"/>
  <c r="I8" i="5"/>
  <c r="L7" i="5"/>
  <c r="I7" i="5"/>
  <c r="I6" i="5"/>
  <c r="L5" i="5"/>
  <c r="I5" i="5"/>
</calcChain>
</file>

<file path=xl/sharedStrings.xml><?xml version="1.0" encoding="utf-8"?>
<sst xmlns="http://schemas.openxmlformats.org/spreadsheetml/2006/main" count="585" uniqueCount="253">
  <si>
    <t>TIPO 1</t>
  </si>
  <si>
    <t>TIPO 6</t>
  </si>
  <si>
    <t>TIPO</t>
  </si>
  <si>
    <t>REF. TRABAJO</t>
  </si>
  <si>
    <t>PRECIO X UND.</t>
  </si>
  <si>
    <t>PRECIO   X   UND.</t>
  </si>
  <si>
    <t>801 MARFIL</t>
  </si>
  <si>
    <t>806 TRAVERTINOS</t>
  </si>
  <si>
    <t>801</t>
  </si>
  <si>
    <t>00001</t>
  </si>
  <si>
    <t>00002</t>
  </si>
  <si>
    <t>00003</t>
  </si>
  <si>
    <t>00004</t>
  </si>
  <si>
    <t>00011</t>
  </si>
  <si>
    <t>00012</t>
  </si>
  <si>
    <t>00013</t>
  </si>
  <si>
    <t>00014</t>
  </si>
  <si>
    <t>806</t>
  </si>
  <si>
    <t>809</t>
  </si>
  <si>
    <t>TIPO 9</t>
  </si>
  <si>
    <t>809 GRANITO</t>
  </si>
  <si>
    <t>00030</t>
  </si>
  <si>
    <t>00816</t>
  </si>
  <si>
    <t>00815</t>
  </si>
  <si>
    <t>00814</t>
  </si>
  <si>
    <t xml:space="preserve">UD CORTE ESQUINA LOSA </t>
  </si>
  <si>
    <t>00813</t>
  </si>
  <si>
    <t>UD ESQUINA SEMIREDONDA 2X2 3 CMS</t>
  </si>
  <si>
    <t>00812</t>
  </si>
  <si>
    <t>UD ESQUINA SEMIREDONDA 2X2 2 CMS</t>
  </si>
  <si>
    <t>00811</t>
  </si>
  <si>
    <t>ML PEGADO FALDON</t>
  </si>
  <si>
    <t>00810</t>
  </si>
  <si>
    <t>ML TIRA PEGADA A UNA PIEZA</t>
  </si>
  <si>
    <t>00807</t>
  </si>
  <si>
    <t>00806</t>
  </si>
  <si>
    <t>UD SENO LAVABO PULIDO EN 3 CMS S/C</t>
  </si>
  <si>
    <t>00805</t>
  </si>
  <si>
    <t>UD SENO LAVABO PULIDO EN 3 CMS</t>
  </si>
  <si>
    <t>00804</t>
  </si>
  <si>
    <t>UD SENO LAVABO PULIDO EN 2 CMS S/C</t>
  </si>
  <si>
    <t>00803</t>
  </si>
  <si>
    <t>UD SENO LAVABO PULIDO EN 2 CMS</t>
  </si>
  <si>
    <t>00802</t>
  </si>
  <si>
    <t>UD SENO LAVABO EN BRUTO EN 3 CMS</t>
  </si>
  <si>
    <t>00801</t>
  </si>
  <si>
    <t>UD SENO LAVABO EN BRUTO EN 2 CMS</t>
  </si>
  <si>
    <t>OTRO TIPO DE TRABAJOS</t>
  </si>
  <si>
    <t>00752</t>
  </si>
  <si>
    <t>UD RETORNO LATERAL 2 Y 3 CMS</t>
  </si>
  <si>
    <t>00751</t>
  </si>
  <si>
    <t>RETORNO</t>
  </si>
  <si>
    <t>00706</t>
  </si>
  <si>
    <t>ML GOTERON &gt;60 PCS S/C</t>
  </si>
  <si>
    <t>00705</t>
  </si>
  <si>
    <t>ML GOTERON &gt;60 PCS</t>
  </si>
  <si>
    <t>00704</t>
  </si>
  <si>
    <t>ML GOTERON 26-60 PCS S/C</t>
  </si>
  <si>
    <t>00703</t>
  </si>
  <si>
    <t>ML GOTERON 26-60 PCS</t>
  </si>
  <si>
    <t>00702</t>
  </si>
  <si>
    <t>ML GOTERON &lt;26 PCS S/C</t>
  </si>
  <si>
    <t>00701</t>
  </si>
  <si>
    <t>GOTERON</t>
  </si>
  <si>
    <t>00654</t>
  </si>
  <si>
    <t>00653</t>
  </si>
  <si>
    <t>00652</t>
  </si>
  <si>
    <t>00651</t>
  </si>
  <si>
    <t>FALSA       ESCUADRA</t>
  </si>
  <si>
    <t>00608</t>
  </si>
  <si>
    <t>ML DISCADAS ANTIDES ABUJARD &gt;25 P S/C</t>
  </si>
  <si>
    <t>00607</t>
  </si>
  <si>
    <t>00606</t>
  </si>
  <si>
    <t>ML DISCADAS ANTIDES ABUJARD &lt;26 P S/C</t>
  </si>
  <si>
    <t>00605</t>
  </si>
  <si>
    <t xml:space="preserve">ML DISCADAS ANTIDES ABUJARD &lt;26 P </t>
  </si>
  <si>
    <t>00604</t>
  </si>
  <si>
    <t>ML DISCADAS ANTIDES (3 MAX) &gt;25 P S/C</t>
  </si>
  <si>
    <t>00603</t>
  </si>
  <si>
    <t>ML DISCADAS ANTIDES (3 MAX) &gt;25 P</t>
  </si>
  <si>
    <t>00602</t>
  </si>
  <si>
    <t>ML DISCADAS ANTIDES (3 MAX) &lt;26 P S/C</t>
  </si>
  <si>
    <t>00601</t>
  </si>
  <si>
    <t>ML DISCADAS ANTIDES (3 MAX) &lt;26 P</t>
  </si>
  <si>
    <t>DISCADA ANTIDESLIZANTES</t>
  </si>
  <si>
    <t>00554</t>
  </si>
  <si>
    <t>00553</t>
  </si>
  <si>
    <t>00552</t>
  </si>
  <si>
    <t>UD CABEZA TABICA PULIDA EN 2 CMS S/C</t>
  </si>
  <si>
    <t>00551</t>
  </si>
  <si>
    <t xml:space="preserve">UD CABEZA TABICA PULIDA EN 2 CMS </t>
  </si>
  <si>
    <t>CABEZA         TABICA</t>
  </si>
  <si>
    <t>00504</t>
  </si>
  <si>
    <t>UD CABEZA HUELLA REDONDA EN 3 CMS S/C</t>
  </si>
  <si>
    <t>00503</t>
  </si>
  <si>
    <t xml:space="preserve">UD CABEZA HUELLA REDONDA EN 3 CMS </t>
  </si>
  <si>
    <t>00502</t>
  </si>
  <si>
    <t>UD CABEZA HUELLA PULIDA EN 3 CMS S/C</t>
  </si>
  <si>
    <t>00501</t>
  </si>
  <si>
    <t>UD CABEZA HUELLA PULIDA EN 3 CMS</t>
  </si>
  <si>
    <t>CABEZA            HUELLA</t>
  </si>
  <si>
    <t>00463</t>
  </si>
  <si>
    <t>UD CORTE PIEZA ESPECIAL</t>
  </si>
  <si>
    <t>00462</t>
  </si>
  <si>
    <t>00461</t>
  </si>
  <si>
    <t>00457</t>
  </si>
  <si>
    <t>00455</t>
  </si>
  <si>
    <t>00453</t>
  </si>
  <si>
    <t>00451</t>
  </si>
  <si>
    <t>CORTE DE CAJA</t>
  </si>
  <si>
    <t>00407</t>
  </si>
  <si>
    <t>00405</t>
  </si>
  <si>
    <t>00403</t>
  </si>
  <si>
    <t>00401</t>
  </si>
  <si>
    <t>TALADROS</t>
  </si>
  <si>
    <t>00354</t>
  </si>
  <si>
    <t>00353</t>
  </si>
  <si>
    <t>00352</t>
  </si>
  <si>
    <t>00351</t>
  </si>
  <si>
    <t>INGLETE</t>
  </si>
  <si>
    <t>00308</t>
  </si>
  <si>
    <t>ML BISEL DE 6 MM A 1 CM &gt;25 ML S/C</t>
  </si>
  <si>
    <t>00307</t>
  </si>
  <si>
    <t>ML BISEL DE 6 MM A 1 CM &gt;25 ML</t>
  </si>
  <si>
    <t>00306</t>
  </si>
  <si>
    <t>ML BISEL DE 6 MM A 1 CM &lt;26 ML S/C</t>
  </si>
  <si>
    <t>00305</t>
  </si>
  <si>
    <t>ML BISEL DE 6 MM A 1 CM &lt;26 ML</t>
  </si>
  <si>
    <t>00304</t>
  </si>
  <si>
    <t>ML BISEL HASTA 5 MM &gt;25 ML S/C</t>
  </si>
  <si>
    <t>00303</t>
  </si>
  <si>
    <t>ML BISEL HASTA 5 MM &gt;25 ML</t>
  </si>
  <si>
    <t>00302</t>
  </si>
  <si>
    <t>ML BISEL HASTA 5 MM &lt;26 ML S/C</t>
  </si>
  <si>
    <t>00301</t>
  </si>
  <si>
    <t>ML BISEL HASTA 5 MM &lt;26 ML</t>
  </si>
  <si>
    <t>BISEL</t>
  </si>
  <si>
    <t>00258</t>
  </si>
  <si>
    <t>00257</t>
  </si>
  <si>
    <t>00256</t>
  </si>
  <si>
    <t>00255</t>
  </si>
  <si>
    <t>00254</t>
  </si>
  <si>
    <t>ML ARISTA MATADA &gt;25 ML S/C</t>
  </si>
  <si>
    <t>00253</t>
  </si>
  <si>
    <t>ML ARISTA MATADA &gt;25 ML</t>
  </si>
  <si>
    <t>00252</t>
  </si>
  <si>
    <t>ML ARISTA MATADA &lt;26 ML S/C</t>
  </si>
  <si>
    <t>00251</t>
  </si>
  <si>
    <t>ML ARISTA MATADA &lt;26 ML</t>
  </si>
  <si>
    <t>ARISTAS</t>
  </si>
  <si>
    <t>00204</t>
  </si>
  <si>
    <t>00203</t>
  </si>
  <si>
    <t>00202</t>
  </si>
  <si>
    <t>00201</t>
  </si>
  <si>
    <t>ENTRECALLE</t>
  </si>
  <si>
    <t>00154</t>
  </si>
  <si>
    <t>ML CANTO REDONDO PULIDO &gt;25 PCS S/C</t>
  </si>
  <si>
    <t>00153</t>
  </si>
  <si>
    <t>ML CANTO REDONDO PULIDO &gt;25 PCS</t>
  </si>
  <si>
    <t>00152</t>
  </si>
  <si>
    <t>ML CANTO REDONDO PULIDO &lt;26 PCS S/C</t>
  </si>
  <si>
    <t>00151</t>
  </si>
  <si>
    <t>ML CANTO REDONDO PULIDO &lt;26 PCS</t>
  </si>
  <si>
    <t>CANTO REDONDO</t>
  </si>
  <si>
    <t>00104</t>
  </si>
  <si>
    <t>00103</t>
  </si>
  <si>
    <t>ML CANTO ROMO Ó 1/2 CAÑA &gt;25 PCS</t>
  </si>
  <si>
    <t>00102</t>
  </si>
  <si>
    <t>ML CANTO ROMO Ó 1/2 CAÑA &lt;26 PCS S/C</t>
  </si>
  <si>
    <t>00101</t>
  </si>
  <si>
    <t>ML CANTO ROMO Ó 1/2 CAÑA &lt;26 PCS</t>
  </si>
  <si>
    <t>00056</t>
  </si>
  <si>
    <t xml:space="preserve">ML CANTO PILASTRA PULIDO &gt;25 PCS S/C </t>
  </si>
  <si>
    <t>00055</t>
  </si>
  <si>
    <t>ML CANTO PILASTRA PULIDO &gt;25 PCS</t>
  </si>
  <si>
    <t>00054</t>
  </si>
  <si>
    <t xml:space="preserve">ML CANTO PILASTRA PULIDO &lt;26 PCS S/C </t>
  </si>
  <si>
    <t>00053</t>
  </si>
  <si>
    <t>ML CANTO PILASTRA PULIDO &lt;26 PCS</t>
  </si>
  <si>
    <t>00052</t>
  </si>
  <si>
    <t>ML CANTO PILASTRA BRUTO &gt;25 PCS</t>
  </si>
  <si>
    <t>00051</t>
  </si>
  <si>
    <t>ML CANTO PILASTRA BRUTO &lt;26 PCS</t>
  </si>
  <si>
    <t>CANTO PILASTRA</t>
  </si>
  <si>
    <t>ML CANTO ACIDADO</t>
  </si>
  <si>
    <t>CANTO           ACIDADO</t>
  </si>
  <si>
    <t>ML CANTO ENVEJECIDO 3 CMS</t>
  </si>
  <si>
    <t>ML CANTO ENVEJECIDO 2 CMS</t>
  </si>
  <si>
    <t>CANTO           ENVEJECIDO</t>
  </si>
  <si>
    <t>ML CANTO PULIDO 3 CMS S/C</t>
  </si>
  <si>
    <t>ML CANTO PULIDO 3 CMS</t>
  </si>
  <si>
    <t>ML CANTO PULIDO 2 CMS S/C</t>
  </si>
  <si>
    <t>ML CANTO PULIDO 2 CMS</t>
  </si>
  <si>
    <t>CANTO           PULIDO</t>
  </si>
  <si>
    <t>84 OTROS TRABAJOS                          84 OTROS TRABAJOS                                  84 OTROS TRABAJOS                                 84 OTROS TRABAJOS                                              84 OTROS TRABAJOS</t>
  </si>
  <si>
    <t>84 OTROS TRABAJOS</t>
  </si>
  <si>
    <t>GRUPO DE TRABAJO</t>
  </si>
  <si>
    <t>LIGHT EMPERADOR, ROSA ZARCI, CREMA ZARCI, ST. CROIX, SUNNY/GALALA, KOALA, GRIS MARENGO</t>
  </si>
  <si>
    <t>ML CANTO ENVEJECIDO 2 CMS S/C</t>
  </si>
  <si>
    <t>ML CANTO ENVEJECIDO 3 CMS S/C</t>
  </si>
  <si>
    <t xml:space="preserve">3CM INCREMENTO  20% </t>
  </si>
  <si>
    <t>CANTOARENADO</t>
  </si>
  <si>
    <t>ML CANTO ARENADO</t>
  </si>
  <si>
    <t>CANTO       ROMO</t>
  </si>
  <si>
    <t>ML CANTO ROMO O 1/2 CAÑA &gt; 25 PCS S/C</t>
  </si>
  <si>
    <t>3CM INCREMENTO 20%/ ENVEJECIDO INCREMENTO 15%</t>
  </si>
  <si>
    <t>ML ENTRECALLE PULIDA&lt;26 PCS</t>
  </si>
  <si>
    <t>ML ENTRECALLE PULIDA &lt;26 PCS S/C</t>
  </si>
  <si>
    <t>ML ENTRECALLE PULIDA &gt;25 PCS</t>
  </si>
  <si>
    <t>ML ENTRECALLE PULIDA &gt;25 PCS S/C</t>
  </si>
  <si>
    <t>M2 ARISTA MATADA &lt;26 M2 60X60/60X30/60X40/40X40</t>
  </si>
  <si>
    <t xml:space="preserve">M2 ARISTA MATADA &lt;26 M2 S/C  60X60/ 60X30/60X40/40X40 </t>
  </si>
  <si>
    <t>M2 ARISTA MATADA &gt;25 M2 60X60/ 60X30/60X40/40X40</t>
  </si>
  <si>
    <t>M2 ARISTA MATADA &gt;25 M2 S/C  60X60/60X30/60X40/40X40</t>
  </si>
  <si>
    <t>MEDIDA NO STANDARD EL DOBLE / HASTA 3MM</t>
  </si>
  <si>
    <t>ML CORTE INGLETE 2 CM  A 45º</t>
  </si>
  <si>
    <t>ML CORTE INGLETE 2 CM A 45º S/C</t>
  </si>
  <si>
    <t>ML CORTE INGLETE 3 CM A 45º</t>
  </si>
  <si>
    <t>ML CORTE INGLETE 3 CM A 45º S/C</t>
  </si>
  <si>
    <t xml:space="preserve">ML INGLETE 2 Y 3CM + PEGADO </t>
  </si>
  <si>
    <t>00370</t>
  </si>
  <si>
    <t xml:space="preserve">UD TALADRO SIN ESCOTAR  NO MEDIDA FIJA </t>
  </si>
  <si>
    <t xml:space="preserve">UD TALADRO SIN ESCOTAR MEDIDA FIJA </t>
  </si>
  <si>
    <t>UD TALADRO ESCOTADO NO MEDIDA FIJA</t>
  </si>
  <si>
    <t xml:space="preserve">UD TALADRO ESCOTADO  MEDIDA FIJA </t>
  </si>
  <si>
    <t xml:space="preserve">MAS DE 26 UD DESCONTAR 0,25€/UD </t>
  </si>
  <si>
    <t>UD CORTE DE CAJA EN 2 CMS &lt;25</t>
  </si>
  <si>
    <t>UD CORTE DE CAJA EN 2 CMS &gt;26</t>
  </si>
  <si>
    <t>UD CORTE DE CAJA EN 3 CMS &lt;25</t>
  </si>
  <si>
    <t>UD CORTE DE CAJA EN 3 CMS &gt;26</t>
  </si>
  <si>
    <t>UD CORTE COMPENSADO 2 CMS TERMINADO</t>
  </si>
  <si>
    <t>UD CORTE COMPENSADO 3 CMS TERMINADO</t>
  </si>
  <si>
    <t>UD CABEZA TABICA REDONDA EN 2 CMS TACOS</t>
  </si>
  <si>
    <t>UD CABEZA TABICA REDONDA EN 2 CMS S/C TACOS</t>
  </si>
  <si>
    <t xml:space="preserve">ML DISCADAS ANTIDES ABUJARD &gt;25 P 4-5 CM </t>
  </si>
  <si>
    <t>ML DISCADAS CON FRESA 4-5 CM &lt;26 P</t>
  </si>
  <si>
    <t>00615</t>
  </si>
  <si>
    <t>ML DISCADAS CON FRESA 4-5 CM&gt;26 P</t>
  </si>
  <si>
    <t>00616</t>
  </si>
  <si>
    <t xml:space="preserve">ML DISCADAS CON CARBURUNDU 4-5CM </t>
  </si>
  <si>
    <t>00617</t>
  </si>
  <si>
    <t>DISCADAS NO PASANTES 3 DISCADAS Y FRESADAS INCREMENTO 50%</t>
  </si>
  <si>
    <t>UD CORTE FALSA ESCUADRA EN 2 CMS HASTA 100 CM</t>
  </si>
  <si>
    <t>UD CORTE FALSA ESCUADRA EN 2 CMS S/C HASTA 100 CM</t>
  </si>
  <si>
    <t xml:space="preserve">UD CORTE FALSA ESCUADRA EN 3 CMS HASTA 100 CM </t>
  </si>
  <si>
    <t>UD CORTE FALSA ESCUADRA EN 3CMS S/C HASTA 100CM</t>
  </si>
  <si>
    <t>CORTE FALSA ESCUADRA SUPERIOR A 100 CM INCREMENTO DEL 50%</t>
  </si>
  <si>
    <t xml:space="preserve">ML GOTERON &lt;26 PCS </t>
  </si>
  <si>
    <t xml:space="preserve">ML RETORNO DORSO </t>
  </si>
  <si>
    <t xml:space="preserve">ML/UD  INCRUSTAR VARILLA DE ACERO </t>
  </si>
  <si>
    <t xml:space="preserve">UD ORIFICIO PARA GRIFOS DE 2 CMS </t>
  </si>
  <si>
    <t>UD ORIFICIO PARA GRIFOS DE 3 CMS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</si>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</sst>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Border="1"/>
    <xf numFmtId="0" fontId="1" fillId="0" borderId="0" xfId="0" applyFont="1"/>
    <xf numFmtId="49" fontId="1" fillId="0" borderId="5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Border="1"/>
    <xf numFmtId="49" fontId="1" fillId="0" borderId="2" xfId="0" applyNumberFormat="1" applyFont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 vertical="center" textRotation="90" wrapText="1"/>
    </xf>
    <xf numFmtId="164" fontId="0" fillId="0" borderId="6" xfId="0" applyNumberFormat="1" applyBorder="1"/>
    <xf numFmtId="164" fontId="0" fillId="5" borderId="12" xfId="0" applyNumberFormat="1" applyFill="1" applyBorder="1"/>
    <xf numFmtId="49" fontId="1" fillId="5" borderId="5" xfId="0" applyNumberFormat="1" applyFont="1" applyFill="1" applyBorder="1" applyAlignment="1">
      <alignment horizontal="center"/>
    </xf>
    <xf numFmtId="164" fontId="0" fillId="0" borderId="13" xfId="0" applyNumberFormat="1" applyBorder="1"/>
    <xf numFmtId="0" fontId="0" fillId="0" borderId="36" xfId="0" applyBorder="1"/>
    <xf numFmtId="164" fontId="0" fillId="5" borderId="6" xfId="0" applyNumberFormat="1" applyFill="1" applyBorder="1"/>
    <xf numFmtId="164" fontId="0" fillId="0" borderId="13" xfId="0" applyNumberFormat="1" applyFill="1" applyBorder="1"/>
    <xf numFmtId="164" fontId="0" fillId="0" borderId="12" xfId="0" applyNumberFormat="1" applyFill="1" applyBorder="1"/>
    <xf numFmtId="49" fontId="1" fillId="0" borderId="5" xfId="0" applyNumberFormat="1" applyFont="1" applyFill="1" applyBorder="1" applyAlignment="1">
      <alignment horizontal="center"/>
    </xf>
    <xf numFmtId="164" fontId="0" fillId="5" borderId="13" xfId="0" applyNumberFormat="1" applyFill="1" applyBorder="1"/>
    <xf numFmtId="164" fontId="0" fillId="0" borderId="12" xfId="0" applyNumberFormat="1" applyBorder="1"/>
    <xf numFmtId="164" fontId="0" fillId="0" borderId="6" xfId="0" applyNumberFormat="1" applyFill="1" applyBorder="1"/>
    <xf numFmtId="0" fontId="0" fillId="0" borderId="36" xfId="0" applyFill="1" applyBorder="1"/>
    <xf numFmtId="164" fontId="0" fillId="5" borderId="39" xfId="0" applyNumberFormat="1" applyFill="1" applyBorder="1"/>
    <xf numFmtId="49" fontId="1" fillId="5" borderId="10" xfId="0" applyNumberFormat="1" applyFont="1" applyFill="1" applyBorder="1" applyAlignment="1">
      <alignment horizontal="center"/>
    </xf>
    <xf numFmtId="49" fontId="1" fillId="5" borderId="40" xfId="0" applyNumberFormat="1" applyFont="1" applyFill="1" applyBorder="1" applyAlignment="1">
      <alignment horizontal="center"/>
    </xf>
    <xf numFmtId="164" fontId="0" fillId="5" borderId="29" xfId="0" applyNumberFormat="1" applyFill="1" applyBorder="1"/>
    <xf numFmtId="164" fontId="0" fillId="0" borderId="28" xfId="0" applyNumberFormat="1" applyBorder="1"/>
    <xf numFmtId="49" fontId="1" fillId="0" borderId="10" xfId="0" applyNumberFormat="1" applyFont="1" applyFill="1" applyBorder="1" applyAlignment="1">
      <alignment horizontal="center"/>
    </xf>
    <xf numFmtId="49" fontId="1" fillId="0" borderId="40" xfId="0" applyNumberFormat="1" applyFont="1" applyBorder="1" applyAlignment="1">
      <alignment horizontal="center"/>
    </xf>
    <xf numFmtId="0" fontId="0" fillId="0" borderId="41" xfId="0" applyFill="1" applyBorder="1"/>
    <xf numFmtId="164" fontId="0" fillId="0" borderId="9" xfId="0" applyNumberFormat="1" applyBorder="1"/>
    <xf numFmtId="49" fontId="1" fillId="0" borderId="8" xfId="0" applyNumberFormat="1" applyFont="1" applyFill="1" applyBorder="1" applyAlignment="1">
      <alignment horizontal="center"/>
    </xf>
    <xf numFmtId="164" fontId="0" fillId="5" borderId="34" xfId="0" applyNumberFormat="1" applyFill="1" applyBorder="1"/>
    <xf numFmtId="49" fontId="1" fillId="5" borderId="8" xfId="0" applyNumberFormat="1" applyFont="1" applyFill="1" applyBorder="1" applyAlignment="1">
      <alignment horizontal="center"/>
    </xf>
    <xf numFmtId="49" fontId="1" fillId="5" borderId="7" xfId="0" applyNumberFormat="1" applyFont="1" applyFill="1" applyBorder="1" applyAlignment="1">
      <alignment horizontal="center"/>
    </xf>
    <xf numFmtId="164" fontId="0" fillId="0" borderId="15" xfId="0" applyNumberFormat="1" applyBorder="1"/>
    <xf numFmtId="0" fontId="0" fillId="0" borderId="43" xfId="0" applyFill="1" applyBorder="1"/>
    <xf numFmtId="164" fontId="0" fillId="0" borderId="39" xfId="0" applyNumberFormat="1" applyBorder="1"/>
    <xf numFmtId="164" fontId="4" fillId="5" borderId="9" xfId="0" applyNumberFormat="1" applyFont="1" applyFill="1" applyBorder="1"/>
    <xf numFmtId="49" fontId="5" fillId="5" borderId="8" xfId="0" applyNumberFormat="1" applyFont="1" applyFill="1" applyBorder="1" applyAlignment="1">
      <alignment horizontal="center"/>
    </xf>
    <xf numFmtId="49" fontId="5" fillId="5" borderId="7" xfId="0" applyNumberFormat="1" applyFont="1" applyFill="1" applyBorder="1" applyAlignment="1">
      <alignment horizontal="center"/>
    </xf>
    <xf numFmtId="164" fontId="4" fillId="0" borderId="34" xfId="0" applyNumberFormat="1" applyFont="1" applyFill="1" applyBorder="1"/>
    <xf numFmtId="49" fontId="5" fillId="0" borderId="8" xfId="0" applyNumberFormat="1" applyFont="1" applyFill="1" applyBorder="1" applyAlignment="1">
      <alignment horizontal="center"/>
    </xf>
    <xf numFmtId="49" fontId="5" fillId="0" borderId="7" xfId="0" applyNumberFormat="1" applyFont="1" applyFill="1" applyBorder="1" applyAlignment="1">
      <alignment horizontal="center"/>
    </xf>
    <xf numFmtId="164" fontId="0" fillId="5" borderId="15" xfId="0" applyNumberFormat="1" applyFill="1" applyBorder="1"/>
    <xf numFmtId="164" fontId="4" fillId="0" borderId="6" xfId="0" applyNumberFormat="1" applyFont="1" applyBorder="1"/>
    <xf numFmtId="49" fontId="5" fillId="0" borderId="1" xfId="0" applyNumberFormat="1" applyFont="1" applyFill="1" applyBorder="1" applyAlignment="1">
      <alignment horizontal="center"/>
    </xf>
    <xf numFmtId="49" fontId="5" fillId="0" borderId="5" xfId="0" applyNumberFormat="1" applyFont="1" applyBorder="1" applyAlignment="1">
      <alignment horizontal="center"/>
    </xf>
    <xf numFmtId="164" fontId="4" fillId="0" borderId="12" xfId="0" applyNumberFormat="1" applyFont="1" applyBorder="1"/>
    <xf numFmtId="164" fontId="4" fillId="5" borderId="6" xfId="0" applyNumberFormat="1" applyFont="1" applyFill="1" applyBorder="1"/>
    <xf numFmtId="49" fontId="5" fillId="5" borderId="1" xfId="0" applyNumberFormat="1" applyFont="1" applyFill="1" applyBorder="1" applyAlignment="1">
      <alignment horizontal="center"/>
    </xf>
    <xf numFmtId="49" fontId="5" fillId="5" borderId="5" xfId="0" applyNumberFormat="1" applyFont="1" applyFill="1" applyBorder="1" applyAlignment="1">
      <alignment horizontal="center"/>
    </xf>
    <xf numFmtId="164" fontId="4" fillId="0" borderId="12" xfId="0" applyNumberFormat="1" applyFont="1" applyFill="1" applyBorder="1"/>
    <xf numFmtId="49" fontId="5" fillId="0" borderId="5" xfId="0" applyNumberFormat="1" applyFont="1" applyFill="1" applyBorder="1" applyAlignment="1">
      <alignment horizontal="center"/>
    </xf>
    <xf numFmtId="164" fontId="4" fillId="0" borderId="39" xfId="0" applyNumberFormat="1" applyFont="1" applyFill="1" applyBorder="1"/>
    <xf numFmtId="49" fontId="5" fillId="0" borderId="10" xfId="0" applyNumberFormat="1" applyFont="1" applyFill="1" applyBorder="1" applyAlignment="1">
      <alignment horizontal="center"/>
    </xf>
    <xf numFmtId="49" fontId="5" fillId="0" borderId="40" xfId="0" applyNumberFormat="1" applyFont="1" applyFill="1" applyBorder="1" applyAlignment="1">
      <alignment horizontal="center"/>
    </xf>
    <xf numFmtId="164" fontId="4" fillId="0" borderId="29" xfId="0" applyNumberFormat="1" applyFont="1" applyFill="1" applyBorder="1"/>
    <xf numFmtId="164" fontId="0" fillId="0" borderId="28" xfId="0" applyNumberFormat="1" applyFill="1" applyBorder="1"/>
    <xf numFmtId="164" fontId="4" fillId="0" borderId="39" xfId="0" applyNumberFormat="1" applyFont="1" applyBorder="1"/>
    <xf numFmtId="49" fontId="5" fillId="0" borderId="40" xfId="0" applyNumberFormat="1" applyFont="1" applyBorder="1" applyAlignment="1">
      <alignment horizontal="center"/>
    </xf>
    <xf numFmtId="164" fontId="4" fillId="0" borderId="29" xfId="0" applyNumberFormat="1" applyFont="1" applyBorder="1"/>
    <xf numFmtId="164" fontId="4" fillId="0" borderId="9" xfId="0" applyNumberFormat="1" applyFont="1" applyFill="1" applyBorder="1"/>
    <xf numFmtId="164" fontId="0" fillId="5" borderId="9" xfId="0" applyNumberFormat="1" applyFill="1" applyBorder="1"/>
    <xf numFmtId="164" fontId="4" fillId="5" borderId="33" xfId="0" applyNumberFormat="1" applyFont="1" applyFill="1" applyBorder="1"/>
    <xf numFmtId="49" fontId="5" fillId="5" borderId="32" xfId="0" applyNumberFormat="1" applyFont="1" applyFill="1" applyBorder="1" applyAlignment="1">
      <alignment horizontal="center"/>
    </xf>
    <xf numFmtId="49" fontId="5" fillId="5" borderId="31" xfId="0" applyNumberFormat="1" applyFont="1" applyFill="1" applyBorder="1" applyAlignment="1">
      <alignment horizontal="center"/>
    </xf>
    <xf numFmtId="164" fontId="4" fillId="0" borderId="44" xfId="0" applyNumberFormat="1" applyFont="1" applyFill="1" applyBorder="1"/>
    <xf numFmtId="49" fontId="5" fillId="0" borderId="32" xfId="0" applyNumberFormat="1" applyFont="1" applyFill="1" applyBorder="1" applyAlignment="1">
      <alignment horizontal="center"/>
    </xf>
    <xf numFmtId="49" fontId="5" fillId="0" borderId="31" xfId="0" applyNumberFormat="1" applyFont="1" applyFill="1" applyBorder="1" applyAlignment="1">
      <alignment horizontal="center"/>
    </xf>
    <xf numFmtId="164" fontId="0" fillId="5" borderId="33" xfId="0" applyNumberFormat="1" applyFill="1" applyBorder="1"/>
    <xf numFmtId="49" fontId="1" fillId="5" borderId="32" xfId="0" applyNumberFormat="1" applyFont="1" applyFill="1" applyBorder="1" applyAlignment="1">
      <alignment horizontal="center"/>
    </xf>
    <xf numFmtId="49" fontId="1" fillId="5" borderId="31" xfId="0" applyNumberFormat="1" applyFont="1" applyFill="1" applyBorder="1" applyAlignment="1">
      <alignment horizontal="center"/>
    </xf>
    <xf numFmtId="0" fontId="0" fillId="0" borderId="45" xfId="0" applyFill="1" applyBorder="1"/>
    <xf numFmtId="164" fontId="4" fillId="0" borderId="6" xfId="0" applyNumberFormat="1" applyFont="1" applyFill="1" applyBorder="1"/>
    <xf numFmtId="164" fontId="4" fillId="0" borderId="30" xfId="0" applyNumberFormat="1" applyFont="1" applyFill="1" applyBorder="1"/>
    <xf numFmtId="0" fontId="0" fillId="0" borderId="46" xfId="0" applyFill="1" applyBorder="1"/>
    <xf numFmtId="164" fontId="4" fillId="0" borderId="30" xfId="0" applyNumberFormat="1" applyFont="1" applyBorder="1"/>
    <xf numFmtId="164" fontId="4" fillId="0" borderId="4" xfId="0" applyNumberFormat="1" applyFont="1" applyBorder="1"/>
    <xf numFmtId="49" fontId="5" fillId="0" borderId="3" xfId="0" applyNumberFormat="1" applyFont="1" applyFill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164" fontId="4" fillId="0" borderId="26" xfId="0" applyNumberFormat="1" applyFont="1" applyBorder="1"/>
    <xf numFmtId="164" fontId="0" fillId="0" borderId="4" xfId="0" applyNumberFormat="1" applyBorder="1"/>
    <xf numFmtId="49" fontId="1" fillId="0" borderId="3" xfId="0" applyNumberFormat="1" applyFont="1" applyFill="1" applyBorder="1" applyAlignment="1">
      <alignment horizontal="center"/>
    </xf>
    <xf numFmtId="0" fontId="0" fillId="0" borderId="47" xfId="0" applyFill="1" applyBorder="1"/>
    <xf numFmtId="164" fontId="4" fillId="5" borderId="12" xfId="0" applyNumberFormat="1" applyFont="1" applyFill="1" applyBorder="1"/>
    <xf numFmtId="49" fontId="1" fillId="0" borderId="40" xfId="0" applyNumberFormat="1" applyFont="1" applyFill="1" applyBorder="1" applyAlignment="1">
      <alignment horizontal="center"/>
    </xf>
    <xf numFmtId="164" fontId="4" fillId="5" borderId="34" xfId="0" applyNumberFormat="1" applyFont="1" applyFill="1" applyBorder="1"/>
    <xf numFmtId="49" fontId="1" fillId="0" borderId="7" xfId="0" applyNumberFormat="1" applyFont="1" applyFill="1" applyBorder="1" applyAlignment="1">
      <alignment horizontal="center"/>
    </xf>
    <xf numFmtId="164" fontId="0" fillId="0" borderId="15" xfId="0" applyNumberFormat="1" applyFill="1" applyBorder="1"/>
    <xf numFmtId="0" fontId="0" fillId="0" borderId="43" xfId="0" applyBorder="1"/>
    <xf numFmtId="164" fontId="0" fillId="0" borderId="14" xfId="0" applyNumberFormat="1" applyFill="1" applyBorder="1"/>
    <xf numFmtId="49" fontId="1" fillId="0" borderId="2" xfId="0" applyNumberFormat="1" applyFont="1" applyFill="1" applyBorder="1" applyAlignment="1">
      <alignment horizontal="center"/>
    </xf>
    <xf numFmtId="0" fontId="0" fillId="0" borderId="11" xfId="0" applyBorder="1"/>
    <xf numFmtId="164" fontId="0" fillId="0" borderId="30" xfId="0" applyNumberFormat="1" applyFill="1" applyBorder="1"/>
    <xf numFmtId="164" fontId="0" fillId="0" borderId="29" xfId="0" applyNumberFormat="1" applyFill="1" applyBorder="1"/>
    <xf numFmtId="0" fontId="2" fillId="2" borderId="48" xfId="0" applyFont="1" applyFill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49" fontId="2" fillId="0" borderId="35" xfId="0" applyNumberFormat="1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textRotation="90" wrapText="1"/>
    </xf>
    <xf numFmtId="49" fontId="1" fillId="0" borderId="31" xfId="0" applyNumberFormat="1" applyFont="1" applyFill="1" applyBorder="1" applyAlignment="1">
      <alignment horizontal="center"/>
    </xf>
    <xf numFmtId="49" fontId="1" fillId="0" borderId="32" xfId="0" applyNumberFormat="1" applyFont="1" applyFill="1" applyBorder="1" applyAlignment="1">
      <alignment horizontal="center"/>
    </xf>
    <xf numFmtId="49" fontId="2" fillId="0" borderId="40" xfId="0" applyNumberFormat="1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164" fontId="0" fillId="0" borderId="4" xfId="0" applyNumberFormat="1" applyFill="1" applyBorder="1"/>
    <xf numFmtId="164" fontId="0" fillId="0" borderId="26" xfId="0" applyNumberFormat="1" applyFill="1" applyBorder="1"/>
    <xf numFmtId="164" fontId="0" fillId="0" borderId="44" xfId="0" applyNumberFormat="1" applyFill="1" applyBorder="1"/>
    <xf numFmtId="0" fontId="0" fillId="0" borderId="53" xfId="0" applyBorder="1"/>
    <xf numFmtId="49" fontId="1" fillId="6" borderId="7" xfId="0" applyNumberFormat="1" applyFont="1" applyFill="1" applyBorder="1" applyAlignment="1">
      <alignment horizontal="center"/>
    </xf>
    <xf numFmtId="49" fontId="1" fillId="6" borderId="8" xfId="0" applyNumberFormat="1" applyFont="1" applyFill="1" applyBorder="1" applyAlignment="1">
      <alignment horizontal="center"/>
    </xf>
    <xf numFmtId="0" fontId="1" fillId="0" borderId="53" xfId="0" applyFont="1" applyFill="1" applyBorder="1"/>
    <xf numFmtId="0" fontId="0" fillId="0" borderId="54" xfId="0" applyFont="1" applyFill="1" applyBorder="1"/>
    <xf numFmtId="49" fontId="1" fillId="5" borderId="2" xfId="0" applyNumberFormat="1" applyFont="1" applyFill="1" applyBorder="1" applyAlignment="1">
      <alignment horizontal="center"/>
    </xf>
    <xf numFmtId="49" fontId="1" fillId="5" borderId="3" xfId="0" applyNumberFormat="1" applyFont="1" applyFill="1" applyBorder="1" applyAlignment="1">
      <alignment horizontal="center"/>
    </xf>
    <xf numFmtId="164" fontId="0" fillId="5" borderId="14" xfId="0" applyNumberFormat="1" applyFill="1" applyBorder="1"/>
    <xf numFmtId="164" fontId="0" fillId="5" borderId="4" xfId="0" applyNumberFormat="1" applyFill="1" applyBorder="1"/>
    <xf numFmtId="0" fontId="1" fillId="0" borderId="56" xfId="0" applyFont="1" applyFill="1" applyBorder="1"/>
    <xf numFmtId="49" fontId="1" fillId="5" borderId="35" xfId="0" applyNumberFormat="1" applyFont="1" applyFill="1" applyBorder="1" applyAlignment="1">
      <alignment horizontal="center"/>
    </xf>
    <xf numFmtId="49" fontId="1" fillId="5" borderId="49" xfId="0" applyNumberFormat="1" applyFont="1" applyFill="1" applyBorder="1" applyAlignment="1">
      <alignment horizontal="center"/>
    </xf>
    <xf numFmtId="164" fontId="0" fillId="5" borderId="57" xfId="0" applyNumberFormat="1" applyFill="1" applyBorder="1"/>
    <xf numFmtId="164" fontId="0" fillId="0" borderId="58" xfId="0" applyNumberFormat="1" applyFill="1" applyBorder="1"/>
    <xf numFmtId="164" fontId="0" fillId="5" borderId="27" xfId="0" applyNumberFormat="1" applyFill="1" applyBorder="1"/>
    <xf numFmtId="164" fontId="0" fillId="0" borderId="52" xfId="0" applyNumberFormat="1" applyFill="1" applyBorder="1"/>
    <xf numFmtId="164" fontId="0" fillId="0" borderId="14" xfId="0" applyNumberFormat="1" applyBorder="1"/>
    <xf numFmtId="49" fontId="5" fillId="0" borderId="2" xfId="0" applyNumberFormat="1" applyFont="1" applyFill="1" applyBorder="1" applyAlignment="1">
      <alignment horizontal="center"/>
    </xf>
    <xf numFmtId="164" fontId="4" fillId="0" borderId="14" xfId="0" applyNumberFormat="1" applyFont="1" applyFill="1" applyBorder="1"/>
    <xf numFmtId="164" fontId="4" fillId="0" borderId="4" xfId="0" applyNumberFormat="1" applyFont="1" applyFill="1" applyBorder="1"/>
    <xf numFmtId="164" fontId="4" fillId="0" borderId="13" xfId="0" applyNumberFormat="1" applyFont="1" applyFill="1" applyBorder="1"/>
    <xf numFmtId="0" fontId="0" fillId="0" borderId="53" xfId="0" applyFill="1" applyBorder="1"/>
    <xf numFmtId="0" fontId="1" fillId="0" borderId="43" xfId="0" applyFont="1" applyFill="1" applyBorder="1"/>
    <xf numFmtId="164" fontId="4" fillId="5" borderId="15" xfId="0" applyNumberFormat="1" applyFont="1" applyFill="1" applyBorder="1"/>
    <xf numFmtId="0" fontId="0" fillId="0" borderId="11" xfId="0" applyFill="1" applyBorder="1"/>
    <xf numFmtId="164" fontId="4" fillId="0" borderId="51" xfId="0" applyNumberFormat="1" applyFont="1" applyFill="1" applyBorder="1"/>
    <xf numFmtId="0" fontId="1" fillId="0" borderId="55" xfId="0" applyFont="1" applyFill="1" applyBorder="1"/>
    <xf numFmtId="49" fontId="5" fillId="5" borderId="35" xfId="0" applyNumberFormat="1" applyFont="1" applyFill="1" applyBorder="1" applyAlignment="1">
      <alignment horizontal="center"/>
    </xf>
    <xf numFmtId="49" fontId="5" fillId="5" borderId="49" xfId="0" applyNumberFormat="1" applyFont="1" applyFill="1" applyBorder="1" applyAlignment="1">
      <alignment horizontal="center"/>
    </xf>
    <xf numFmtId="164" fontId="4" fillId="5" borderId="60" xfId="0" applyNumberFormat="1" applyFont="1" applyFill="1" applyBorder="1"/>
    <xf numFmtId="164" fontId="4" fillId="5" borderId="48" xfId="0" applyNumberFormat="1" applyFont="1" applyFill="1" applyBorder="1"/>
    <xf numFmtId="164" fontId="4" fillId="0" borderId="51" xfId="0" applyNumberFormat="1" applyFont="1" applyBorder="1"/>
    <xf numFmtId="164" fontId="0" fillId="6" borderId="15" xfId="0" applyNumberFormat="1" applyFill="1" applyBorder="1"/>
    <xf numFmtId="164" fontId="0" fillId="5" borderId="48" xfId="0" applyNumberFormat="1" applyFill="1" applyBorder="1"/>
    <xf numFmtId="49" fontId="1" fillId="7" borderId="31" xfId="0" applyNumberFormat="1" applyFont="1" applyFill="1" applyBorder="1" applyAlignment="1">
      <alignment horizontal="center"/>
    </xf>
    <xf numFmtId="49" fontId="1" fillId="7" borderId="32" xfId="0" applyNumberFormat="1" applyFont="1" applyFill="1" applyBorder="1" applyAlignment="1">
      <alignment horizontal="center"/>
    </xf>
    <xf numFmtId="164" fontId="0" fillId="7" borderId="27" xfId="0" applyNumberFormat="1" applyFill="1" applyBorder="1"/>
    <xf numFmtId="49" fontId="5" fillId="0" borderId="31" xfId="0" applyNumberFormat="1" applyFont="1" applyBorder="1" applyAlignment="1">
      <alignment horizontal="center"/>
    </xf>
    <xf numFmtId="164" fontId="4" fillId="0" borderId="52" xfId="0" applyNumberFormat="1" applyFont="1" applyBorder="1"/>
    <xf numFmtId="49" fontId="5" fillId="7" borderId="31" xfId="0" applyNumberFormat="1" applyFont="1" applyFill="1" applyBorder="1" applyAlignment="1">
      <alignment horizontal="center"/>
    </xf>
    <xf numFmtId="49" fontId="5" fillId="7" borderId="32" xfId="0" applyNumberFormat="1" applyFont="1" applyFill="1" applyBorder="1" applyAlignment="1">
      <alignment horizontal="center"/>
    </xf>
    <xf numFmtId="164" fontId="4" fillId="7" borderId="33" xfId="0" applyNumberFormat="1" applyFont="1" applyFill="1" applyBorder="1"/>
    <xf numFmtId="164" fontId="0" fillId="0" borderId="39" xfId="0" applyNumberFormat="1" applyFill="1" applyBorder="1"/>
    <xf numFmtId="0" fontId="0" fillId="0" borderId="59" xfId="0" applyFill="1" applyBorder="1"/>
    <xf numFmtId="49" fontId="1" fillId="0" borderId="22" xfId="0" applyNumberFormat="1" applyFont="1" applyFill="1" applyBorder="1" applyAlignment="1">
      <alignment horizontal="center"/>
    </xf>
    <xf numFmtId="49" fontId="1" fillId="0" borderId="23" xfId="0" applyNumberFormat="1" applyFont="1" applyFill="1" applyBorder="1" applyAlignment="1">
      <alignment horizontal="center"/>
    </xf>
    <xf numFmtId="164" fontId="0" fillId="0" borderId="24" xfId="0" applyNumberFormat="1" applyFill="1" applyBorder="1"/>
    <xf numFmtId="164" fontId="0" fillId="0" borderId="33" xfId="0" applyNumberFormat="1" applyFill="1" applyBorder="1"/>
    <xf numFmtId="164" fontId="0" fillId="0" borderId="1" xfId="0" applyNumberFormat="1" applyFill="1" applyBorder="1"/>
    <xf numFmtId="0" fontId="7" fillId="0" borderId="42" xfId="0" applyFont="1" applyBorder="1" applyAlignment="1">
      <alignment horizontal="center" vertical="center" textRotation="26" wrapText="1"/>
    </xf>
    <xf numFmtId="0" fontId="7" fillId="0" borderId="37" xfId="0" applyFont="1" applyBorder="1" applyAlignment="1">
      <alignment horizontal="center" vertical="center" textRotation="26" wrapText="1"/>
    </xf>
    <xf numFmtId="0" fontId="7" fillId="0" borderId="42" xfId="0" applyFont="1" applyBorder="1" applyAlignment="1">
      <alignment horizontal="center" vertical="center" textRotation="90" wrapText="1"/>
    </xf>
    <xf numFmtId="0" fontId="7" fillId="0" borderId="38" xfId="0" applyFont="1" applyBorder="1" applyAlignment="1">
      <alignment horizontal="center" vertical="center" textRotation="90" wrapText="1"/>
    </xf>
    <xf numFmtId="0" fontId="7" fillId="0" borderId="37" xfId="0" applyFont="1" applyBorder="1" applyAlignment="1">
      <alignment horizontal="center" vertical="center" textRotation="90" wrapText="1"/>
    </xf>
    <xf numFmtId="0" fontId="0" fillId="2" borderId="11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top" wrapText="1"/>
    </xf>
    <xf numFmtId="0" fontId="0" fillId="2" borderId="25" xfId="0" applyFill="1" applyBorder="1" applyAlignment="1">
      <alignment horizontal="center" vertical="top" wrapText="1"/>
    </xf>
    <xf numFmtId="0" fontId="0" fillId="2" borderId="26" xfId="0" applyFill="1" applyBorder="1" applyAlignment="1">
      <alignment horizontal="center" vertical="top" wrapText="1"/>
    </xf>
    <xf numFmtId="0" fontId="6" fillId="0" borderId="42" xfId="0" applyFont="1" applyBorder="1" applyAlignment="1">
      <alignment horizontal="center" vertical="center" textRotation="90"/>
    </xf>
    <xf numFmtId="0" fontId="1" fillId="0" borderId="38" xfId="0" applyFont="1" applyBorder="1" applyAlignment="1">
      <alignment horizontal="center" vertical="center" textRotation="90"/>
    </xf>
    <xf numFmtId="0" fontId="1" fillId="0" borderId="37" xfId="0" applyFont="1" applyBorder="1" applyAlignment="1">
      <alignment horizontal="center" vertical="center" textRotation="90"/>
    </xf>
    <xf numFmtId="0" fontId="2" fillId="0" borderId="42" xfId="0" applyFont="1" applyBorder="1" applyAlignment="1">
      <alignment horizontal="center" vertical="center" textRotation="90" wrapText="1"/>
    </xf>
    <xf numFmtId="0" fontId="2" fillId="0" borderId="37" xfId="0" applyFont="1" applyBorder="1" applyAlignment="1">
      <alignment horizontal="center" vertical="center" textRotation="90" wrapText="1"/>
    </xf>
    <xf numFmtId="0" fontId="9" fillId="0" borderId="19" xfId="0" applyFont="1" applyBorder="1" applyAlignment="1">
      <alignment horizontal="center" vertical="center" textRotation="90" wrapText="1"/>
    </xf>
    <xf numFmtId="0" fontId="9" fillId="0" borderId="55" xfId="0" applyFont="1" applyBorder="1" applyAlignment="1">
      <alignment horizontal="center" vertical="center" textRotation="90" wrapText="1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8"/>
  <sheetViews>
    <sheetView tabSelected="1" view="pageBreakPreview" zoomScaleNormal="100" zoomScaleSheetLayoutView="100" workbookViewId="0">
      <pane xSplit="3" ySplit="4" topLeftCell="D101" activePane="bottomRight" state="frozen"/>
      <selection pane="topRight" activeCell="C1" sqref="C1"/>
      <selection pane="bottomLeft" activeCell="A11" sqref="A11"/>
      <selection pane="bottomRight" activeCell="A4" sqref="A4"/>
    </sheetView>
  </sheetViews>
  <sheetFormatPr baseColWidth="10" defaultColWidth="9.140625" defaultRowHeight="15" x14ac:dyDescent="0.25"/>
  <cols>
    <col min="1" max="1" width="4.7109375" bestFit="1" customWidth="1"/>
    <col min="2" max="2" width="7.28515625" style="11" customWidth="1"/>
    <col min="3" max="3" width="63.7109375" customWidth="1"/>
    <col min="4" max="4" width="4" style="6" customWidth="1"/>
    <col min="5" max="5" width="6.5703125" style="6" customWidth="1"/>
    <col min="6" max="6" width="9.7109375" customWidth="1"/>
    <col min="7" max="7" width="4" style="6" bestFit="1" customWidth="1"/>
    <col min="8" max="8" width="6.5703125" style="6" customWidth="1"/>
    <col min="9" max="9" width="9.7109375" customWidth="1"/>
    <col min="10" max="10" width="4" style="6" bestFit="1" customWidth="1"/>
    <col min="11" max="11" width="6.5703125" style="6" customWidth="1"/>
    <col min="12" max="12" width="9.7109375" customWidth="1"/>
  </cols>
  <sheetData>
    <row r="1" spans="1:12" s="3" customFormat="1" ht="15.75" thickBot="1" x14ac:dyDescent="0.3">
      <c r="B1" s="104"/>
      <c r="D1" s="179" t="s">
        <v>0</v>
      </c>
      <c r="E1" s="180"/>
      <c r="F1" s="181"/>
      <c r="G1" s="182" t="s">
        <v>1</v>
      </c>
      <c r="H1" s="183"/>
      <c r="I1" s="184"/>
      <c r="J1" s="182" t="s">
        <v>19</v>
      </c>
      <c r="K1" s="183"/>
      <c r="L1" s="184"/>
    </row>
    <row r="2" spans="1:12" s="1" customFormat="1" ht="15.75" customHeight="1" thickBot="1" x14ac:dyDescent="0.3">
      <c r="B2" s="11"/>
      <c r="D2" s="185" t="s">
        <v>6</v>
      </c>
      <c r="E2" s="186"/>
      <c r="F2" s="187"/>
      <c r="G2" s="188" t="s">
        <v>7</v>
      </c>
      <c r="H2" s="189"/>
      <c r="I2" s="190"/>
      <c r="J2" s="188" t="s">
        <v>20</v>
      </c>
      <c r="K2" s="189"/>
      <c r="L2" s="190"/>
    </row>
    <row r="3" spans="1:12" s="1" customFormat="1" ht="90" customHeight="1" thickBot="1" x14ac:dyDescent="0.3">
      <c r="B3" s="11"/>
      <c r="D3" s="166" t="s">
        <v>197</v>
      </c>
      <c r="E3" s="167"/>
      <c r="F3" s="168"/>
      <c r="G3" s="169"/>
      <c r="H3" s="170"/>
      <c r="I3" s="171"/>
      <c r="J3" s="169"/>
      <c r="K3" s="170"/>
      <c r="L3" s="171"/>
    </row>
    <row r="4" spans="1:12" ht="48.75" customHeight="1" thickBot="1" x14ac:dyDescent="0.3">
      <c r="A4" t="s">
        <v>252</v>
      </c>
      <c r="B4" s="103" t="s">
        <v>196</v>
      </c>
      <c r="C4" s="102" t="s">
        <v>195</v>
      </c>
      <c r="D4" s="107" t="s">
        <v>2</v>
      </c>
      <c r="E4" s="108" t="s">
        <v>3</v>
      </c>
      <c r="F4" s="99" t="s">
        <v>4</v>
      </c>
      <c r="G4" s="101" t="s">
        <v>2</v>
      </c>
      <c r="H4" s="100" t="s">
        <v>3</v>
      </c>
      <c r="I4" s="99" t="s">
        <v>5</v>
      </c>
      <c r="J4" s="101" t="s">
        <v>2</v>
      </c>
      <c r="K4" s="100" t="s">
        <v>3</v>
      </c>
      <c r="L4" s="99" t="s">
        <v>5</v>
      </c>
    </row>
    <row r="5" spans="1:12" ht="15" customHeight="1" x14ac:dyDescent="0.25">
      <c r="A5" s="172" t="s">
        <v>194</v>
      </c>
      <c r="B5" s="163" t="s">
        <v>193</v>
      </c>
      <c r="C5" s="96" t="s">
        <v>192</v>
      </c>
      <c r="D5" s="95" t="s">
        <v>8</v>
      </c>
      <c r="E5" s="86" t="s">
        <v>9</v>
      </c>
      <c r="F5" s="109">
        <v>3</v>
      </c>
      <c r="G5" s="95" t="s">
        <v>17</v>
      </c>
      <c r="H5" s="86" t="s">
        <v>9</v>
      </c>
      <c r="I5" s="110">
        <f>$F$5+($F$5*45%)</f>
        <v>4.3499999999999996</v>
      </c>
      <c r="J5" s="95" t="s">
        <v>18</v>
      </c>
      <c r="K5" s="86" t="s">
        <v>9</v>
      </c>
      <c r="L5" s="110">
        <f>$F$5+($F$5*45%)</f>
        <v>4.3499999999999996</v>
      </c>
    </row>
    <row r="6" spans="1:12" x14ac:dyDescent="0.25">
      <c r="A6" s="173"/>
      <c r="B6" s="164"/>
      <c r="C6" s="16" t="s">
        <v>191</v>
      </c>
      <c r="D6" s="14"/>
      <c r="E6" s="10"/>
      <c r="F6" s="17"/>
      <c r="G6" s="20" t="s">
        <v>17</v>
      </c>
      <c r="H6" s="9" t="s">
        <v>10</v>
      </c>
      <c r="I6" s="97">
        <f>$F$5+($F$5*30%)</f>
        <v>3.9</v>
      </c>
      <c r="J6" s="14"/>
      <c r="K6" s="10"/>
      <c r="L6" s="17"/>
    </row>
    <row r="7" spans="1:12" x14ac:dyDescent="0.25">
      <c r="A7" s="173"/>
      <c r="B7" s="164"/>
      <c r="C7" s="16" t="s">
        <v>190</v>
      </c>
      <c r="D7" s="20" t="s">
        <v>8</v>
      </c>
      <c r="E7" s="9" t="s">
        <v>11</v>
      </c>
      <c r="F7" s="23">
        <v>4</v>
      </c>
      <c r="G7" s="20" t="s">
        <v>17</v>
      </c>
      <c r="H7" s="9" t="s">
        <v>11</v>
      </c>
      <c r="I7" s="97">
        <f>$F$7+($F$7*45%)</f>
        <v>5.8</v>
      </c>
      <c r="J7" s="20" t="s">
        <v>18</v>
      </c>
      <c r="K7" s="9" t="s">
        <v>11</v>
      </c>
      <c r="L7" s="97">
        <f>$F$7+($F$7*45%)</f>
        <v>5.8</v>
      </c>
    </row>
    <row r="8" spans="1:12" ht="15.75" thickBot="1" x14ac:dyDescent="0.3">
      <c r="A8" s="173"/>
      <c r="B8" s="165"/>
      <c r="C8" s="93" t="s">
        <v>189</v>
      </c>
      <c r="D8" s="75"/>
      <c r="E8" s="74"/>
      <c r="F8" s="73"/>
      <c r="G8" s="105" t="s">
        <v>17</v>
      </c>
      <c r="H8" s="106" t="s">
        <v>12</v>
      </c>
      <c r="I8" s="111">
        <f>$F$7+($F$7*30%)</f>
        <v>5.2</v>
      </c>
      <c r="J8" s="75"/>
      <c r="K8" s="74"/>
      <c r="L8" s="73"/>
    </row>
    <row r="9" spans="1:12" ht="15" customHeight="1" x14ac:dyDescent="0.25">
      <c r="A9" s="173"/>
      <c r="B9" s="163" t="s">
        <v>188</v>
      </c>
      <c r="C9" s="96" t="s">
        <v>187</v>
      </c>
      <c r="D9" s="95" t="s">
        <v>8</v>
      </c>
      <c r="E9" s="86" t="s">
        <v>13</v>
      </c>
      <c r="F9" s="94">
        <v>3.45</v>
      </c>
      <c r="G9" s="95" t="s">
        <v>17</v>
      </c>
      <c r="H9" s="86" t="s">
        <v>13</v>
      </c>
      <c r="I9" s="94">
        <f>$F$9+($F$9*45%)</f>
        <v>5.0025000000000004</v>
      </c>
      <c r="J9" s="95" t="s">
        <v>18</v>
      </c>
      <c r="K9" s="86" t="s">
        <v>13</v>
      </c>
      <c r="L9" s="109">
        <f>$F$9+($F$9*45%)</f>
        <v>5.0025000000000004</v>
      </c>
    </row>
    <row r="10" spans="1:12" ht="15" customHeight="1" x14ac:dyDescent="0.25">
      <c r="A10" s="173"/>
      <c r="B10" s="164"/>
      <c r="C10" s="112" t="s">
        <v>186</v>
      </c>
      <c r="D10" s="20" t="s">
        <v>8</v>
      </c>
      <c r="E10" s="9" t="s">
        <v>14</v>
      </c>
      <c r="F10" s="18">
        <v>4.5999999999999996</v>
      </c>
      <c r="G10" s="20" t="s">
        <v>17</v>
      </c>
      <c r="H10" s="9" t="s">
        <v>14</v>
      </c>
      <c r="I10" s="18">
        <f>$F$10+($F$10*45%)</f>
        <v>6.67</v>
      </c>
      <c r="J10" s="20" t="s">
        <v>18</v>
      </c>
      <c r="K10" s="9" t="s">
        <v>14</v>
      </c>
      <c r="L10" s="23">
        <f>$F$10+($F$10*45%)</f>
        <v>6.67</v>
      </c>
    </row>
    <row r="11" spans="1:12" ht="15" customHeight="1" x14ac:dyDescent="0.25">
      <c r="A11" s="173"/>
      <c r="B11" s="164"/>
      <c r="C11" s="16" t="s">
        <v>198</v>
      </c>
      <c r="D11" s="14"/>
      <c r="E11" s="10"/>
      <c r="F11" s="21"/>
      <c r="G11" s="20" t="s">
        <v>17</v>
      </c>
      <c r="H11" s="9" t="s">
        <v>15</v>
      </c>
      <c r="I11" s="18">
        <f>$F$9+($F$9*30%)</f>
        <v>4.4850000000000003</v>
      </c>
      <c r="J11" s="14"/>
      <c r="K11" s="10"/>
      <c r="L11" s="17"/>
    </row>
    <row r="12" spans="1:12" ht="15.75" thickBot="1" x14ac:dyDescent="0.3">
      <c r="A12" s="173"/>
      <c r="B12" s="165"/>
      <c r="C12" s="93" t="s">
        <v>199</v>
      </c>
      <c r="D12" s="37"/>
      <c r="E12" s="36"/>
      <c r="F12" s="47"/>
      <c r="G12" s="91" t="s">
        <v>17</v>
      </c>
      <c r="H12" s="34" t="s">
        <v>16</v>
      </c>
      <c r="I12" s="92">
        <f>$F$10+($F$10*30%)</f>
        <v>5.9799999999999995</v>
      </c>
      <c r="J12" s="37"/>
      <c r="K12" s="36"/>
      <c r="L12" s="66"/>
    </row>
    <row r="13" spans="1:12" ht="15" customHeight="1" x14ac:dyDescent="0.25">
      <c r="A13" s="173"/>
      <c r="B13" s="175" t="s">
        <v>185</v>
      </c>
      <c r="C13" s="96" t="s">
        <v>184</v>
      </c>
      <c r="D13" s="89" t="s">
        <v>8</v>
      </c>
      <c r="E13" s="30" t="s">
        <v>15</v>
      </c>
      <c r="F13" s="61">
        <v>10</v>
      </c>
      <c r="G13" s="27"/>
      <c r="H13" s="26"/>
      <c r="I13" s="28"/>
      <c r="J13" s="27"/>
      <c r="K13" s="26"/>
      <c r="L13" s="25"/>
    </row>
    <row r="14" spans="1:12" ht="20.25" customHeight="1" thickBot="1" x14ac:dyDescent="0.3">
      <c r="A14" s="173"/>
      <c r="B14" s="176"/>
      <c r="C14" s="115" t="s">
        <v>200</v>
      </c>
      <c r="D14" s="37"/>
      <c r="E14" s="36"/>
      <c r="F14" s="47"/>
      <c r="G14" s="75"/>
      <c r="H14" s="74"/>
      <c r="I14" s="73"/>
      <c r="J14" s="75"/>
      <c r="K14" s="74"/>
      <c r="L14" s="73"/>
    </row>
    <row r="15" spans="1:12" x14ac:dyDescent="0.25">
      <c r="A15" s="173"/>
      <c r="B15" s="177" t="s">
        <v>201</v>
      </c>
      <c r="C15" s="116" t="s">
        <v>202</v>
      </c>
      <c r="D15" s="156" t="s">
        <v>8</v>
      </c>
      <c r="E15" s="157" t="s">
        <v>21</v>
      </c>
      <c r="F15" s="158">
        <v>6</v>
      </c>
      <c r="G15" s="117"/>
      <c r="H15" s="118"/>
      <c r="I15" s="119"/>
      <c r="J15" s="117"/>
      <c r="K15" s="118"/>
      <c r="L15" s="120"/>
    </row>
    <row r="16" spans="1:12" ht="15.75" thickBot="1" x14ac:dyDescent="0.3">
      <c r="A16" s="173"/>
      <c r="B16" s="178"/>
      <c r="C16" s="121" t="s">
        <v>200</v>
      </c>
      <c r="D16" s="122"/>
      <c r="E16" s="123"/>
      <c r="F16" s="124"/>
      <c r="G16" s="37"/>
      <c r="H16" s="36"/>
      <c r="I16" s="47"/>
      <c r="J16" s="37"/>
      <c r="K16" s="36"/>
      <c r="L16" s="66"/>
    </row>
    <row r="17" spans="1:12" ht="15" customHeight="1" x14ac:dyDescent="0.25">
      <c r="A17" s="173"/>
      <c r="B17" s="164" t="s">
        <v>183</v>
      </c>
      <c r="C17" s="32" t="s">
        <v>182</v>
      </c>
      <c r="D17" s="89" t="s">
        <v>8</v>
      </c>
      <c r="E17" s="30" t="s">
        <v>181</v>
      </c>
      <c r="F17" s="61">
        <v>3.5</v>
      </c>
      <c r="G17" s="89" t="s">
        <v>17</v>
      </c>
      <c r="H17" s="30" t="s">
        <v>181</v>
      </c>
      <c r="I17" s="98">
        <v>3.5</v>
      </c>
      <c r="J17" s="89" t="s">
        <v>18</v>
      </c>
      <c r="K17" s="30" t="s">
        <v>181</v>
      </c>
      <c r="L17" s="125">
        <f>$F$17+($F$17*45%)</f>
        <v>5.0750000000000002</v>
      </c>
    </row>
    <row r="18" spans="1:12" x14ac:dyDescent="0.25">
      <c r="A18" s="173"/>
      <c r="B18" s="164"/>
      <c r="C18" s="24" t="s">
        <v>180</v>
      </c>
      <c r="D18" s="20" t="s">
        <v>8</v>
      </c>
      <c r="E18" s="9" t="s">
        <v>179</v>
      </c>
      <c r="F18" s="18">
        <v>3</v>
      </c>
      <c r="G18" s="20" t="s">
        <v>17</v>
      </c>
      <c r="H18" s="9" t="s">
        <v>179</v>
      </c>
      <c r="I18" s="19">
        <v>3</v>
      </c>
      <c r="J18" s="20" t="s">
        <v>18</v>
      </c>
      <c r="K18" s="9" t="s">
        <v>179</v>
      </c>
      <c r="L18" s="97">
        <f>$F$18+($F$18*45%)</f>
        <v>4.3499999999999996</v>
      </c>
    </row>
    <row r="19" spans="1:12" x14ac:dyDescent="0.25">
      <c r="A19" s="173"/>
      <c r="B19" s="164"/>
      <c r="C19" s="24" t="s">
        <v>178</v>
      </c>
      <c r="D19" s="20" t="s">
        <v>8</v>
      </c>
      <c r="E19" s="9" t="s">
        <v>177</v>
      </c>
      <c r="F19" s="18">
        <v>5</v>
      </c>
      <c r="G19" s="20" t="s">
        <v>17</v>
      </c>
      <c r="H19" s="9" t="s">
        <v>177</v>
      </c>
      <c r="I19" s="19">
        <f>$F$19+($F$19*45%)</f>
        <v>7.25</v>
      </c>
      <c r="J19" s="20" t="s">
        <v>18</v>
      </c>
      <c r="K19" s="9" t="s">
        <v>177</v>
      </c>
      <c r="L19" s="23">
        <f>$F$19+($F$19*45%)</f>
        <v>7.25</v>
      </c>
    </row>
    <row r="20" spans="1:12" x14ac:dyDescent="0.25">
      <c r="A20" s="173"/>
      <c r="B20" s="164"/>
      <c r="C20" s="24" t="s">
        <v>176</v>
      </c>
      <c r="D20" s="14"/>
      <c r="E20" s="10"/>
      <c r="F20" s="21"/>
      <c r="G20" s="20" t="s">
        <v>17</v>
      </c>
      <c r="H20" s="9" t="s">
        <v>175</v>
      </c>
      <c r="I20" s="19">
        <f>$F$19+($F$19*30%)</f>
        <v>6.5</v>
      </c>
      <c r="J20" s="14"/>
      <c r="K20" s="10"/>
      <c r="L20" s="17"/>
    </row>
    <row r="21" spans="1:12" x14ac:dyDescent="0.25">
      <c r="A21" s="173"/>
      <c r="B21" s="164"/>
      <c r="C21" s="24" t="s">
        <v>174</v>
      </c>
      <c r="D21" s="4" t="s">
        <v>8</v>
      </c>
      <c r="E21" s="9" t="s">
        <v>173</v>
      </c>
      <c r="F21" s="18">
        <v>4.5</v>
      </c>
      <c r="G21" s="20" t="s">
        <v>17</v>
      </c>
      <c r="H21" s="9" t="s">
        <v>173</v>
      </c>
      <c r="I21" s="19">
        <f>$F$21+($F$21*45%)</f>
        <v>6.5250000000000004</v>
      </c>
      <c r="J21" s="20" t="s">
        <v>18</v>
      </c>
      <c r="K21" s="9" t="s">
        <v>173</v>
      </c>
      <c r="L21" s="23">
        <f>$F$21+($F$21*45%)</f>
        <v>6.5250000000000004</v>
      </c>
    </row>
    <row r="22" spans="1:12" ht="15.75" thickBot="1" x14ac:dyDescent="0.3">
      <c r="A22" s="173"/>
      <c r="B22" s="165"/>
      <c r="C22" s="39" t="s">
        <v>172</v>
      </c>
      <c r="D22" s="75"/>
      <c r="E22" s="74"/>
      <c r="F22" s="126"/>
      <c r="G22" s="105" t="s">
        <v>17</v>
      </c>
      <c r="H22" s="106" t="s">
        <v>171</v>
      </c>
      <c r="I22" s="127">
        <f>$F$21+($F$21*30%)</f>
        <v>5.85</v>
      </c>
      <c r="J22" s="75"/>
      <c r="K22" s="74"/>
      <c r="L22" s="73"/>
    </row>
    <row r="23" spans="1:12" ht="15" customHeight="1" x14ac:dyDescent="0.25">
      <c r="A23" s="173"/>
      <c r="B23" s="163" t="s">
        <v>203</v>
      </c>
      <c r="C23" s="32" t="s">
        <v>170</v>
      </c>
      <c r="D23" s="8" t="s">
        <v>8</v>
      </c>
      <c r="E23" s="86" t="s">
        <v>169</v>
      </c>
      <c r="F23" s="128">
        <v>13.65</v>
      </c>
      <c r="G23" s="129" t="s">
        <v>17</v>
      </c>
      <c r="H23" s="82" t="s">
        <v>169</v>
      </c>
      <c r="I23" s="130">
        <f>$F$23+($F$23*45%)</f>
        <v>19.7925</v>
      </c>
      <c r="J23" s="129" t="s">
        <v>18</v>
      </c>
      <c r="K23" s="82" t="s">
        <v>169</v>
      </c>
      <c r="L23" s="131">
        <f>$F$23+($F$23*45%)</f>
        <v>19.7925</v>
      </c>
    </row>
    <row r="24" spans="1:12" x14ac:dyDescent="0.25">
      <c r="A24" s="173"/>
      <c r="B24" s="164"/>
      <c r="C24" s="24" t="s">
        <v>168</v>
      </c>
      <c r="D24" s="14"/>
      <c r="E24" s="10"/>
      <c r="F24" s="21"/>
      <c r="G24" s="56" t="s">
        <v>17</v>
      </c>
      <c r="H24" s="49" t="s">
        <v>167</v>
      </c>
      <c r="I24" s="132">
        <f>$F$23+($F$23*30%)</f>
        <v>17.745000000000001</v>
      </c>
      <c r="J24" s="54"/>
      <c r="K24" s="53"/>
      <c r="L24" s="52"/>
    </row>
    <row r="25" spans="1:12" x14ac:dyDescent="0.25">
      <c r="A25" s="173"/>
      <c r="B25" s="164"/>
      <c r="C25" s="24" t="s">
        <v>166</v>
      </c>
      <c r="D25" s="4" t="s">
        <v>8</v>
      </c>
      <c r="E25" s="9" t="s">
        <v>165</v>
      </c>
      <c r="F25" s="15">
        <v>10.5</v>
      </c>
      <c r="G25" s="56" t="s">
        <v>17</v>
      </c>
      <c r="H25" s="49" t="s">
        <v>165</v>
      </c>
      <c r="I25" s="132">
        <f>$F$25+($F$25*45%)</f>
        <v>15.225000000000001</v>
      </c>
      <c r="J25" s="56" t="s">
        <v>18</v>
      </c>
      <c r="K25" s="49" t="s">
        <v>165</v>
      </c>
      <c r="L25" s="77">
        <f>$F$25+($F$25*45%)</f>
        <v>15.225000000000001</v>
      </c>
    </row>
    <row r="26" spans="1:12" x14ac:dyDescent="0.25">
      <c r="A26" s="173"/>
      <c r="B26" s="164"/>
      <c r="C26" s="133" t="s">
        <v>204</v>
      </c>
      <c r="D26" s="14"/>
      <c r="E26" s="10"/>
      <c r="F26" s="21"/>
      <c r="G26" s="56" t="s">
        <v>17</v>
      </c>
      <c r="H26" s="49" t="s">
        <v>164</v>
      </c>
      <c r="I26" s="132">
        <f>$F$25+($F$25*30%)</f>
        <v>13.65</v>
      </c>
      <c r="J26" s="54"/>
      <c r="K26" s="53"/>
      <c r="L26" s="52"/>
    </row>
    <row r="27" spans="1:12" ht="15.75" thickBot="1" x14ac:dyDescent="0.3">
      <c r="A27" s="173"/>
      <c r="B27" s="165"/>
      <c r="C27" s="134" t="s">
        <v>205</v>
      </c>
      <c r="D27" s="37"/>
      <c r="E27" s="36"/>
      <c r="F27" s="47"/>
      <c r="G27" s="43"/>
      <c r="H27" s="42"/>
      <c r="I27" s="135"/>
      <c r="J27" s="43"/>
      <c r="K27" s="42"/>
      <c r="L27" s="41"/>
    </row>
    <row r="28" spans="1:12" ht="15" customHeight="1" x14ac:dyDescent="0.25">
      <c r="A28" s="173"/>
      <c r="B28" s="163" t="s">
        <v>163</v>
      </c>
      <c r="C28" s="136" t="s">
        <v>162</v>
      </c>
      <c r="D28" s="8" t="s">
        <v>8</v>
      </c>
      <c r="E28" s="86" t="s">
        <v>161</v>
      </c>
      <c r="F28" s="128">
        <v>22.2</v>
      </c>
      <c r="G28" s="129" t="s">
        <v>17</v>
      </c>
      <c r="H28" s="82" t="s">
        <v>161</v>
      </c>
      <c r="I28" s="137">
        <f>$F$28+($F$28*45%)</f>
        <v>32.19</v>
      </c>
      <c r="J28" s="129" t="s">
        <v>18</v>
      </c>
      <c r="K28" s="82" t="s">
        <v>161</v>
      </c>
      <c r="L28" s="131">
        <f>$F$28+($F$28*45%)</f>
        <v>32.19</v>
      </c>
    </row>
    <row r="29" spans="1:12" x14ac:dyDescent="0.25">
      <c r="A29" s="173"/>
      <c r="B29" s="164"/>
      <c r="C29" s="24" t="s">
        <v>160</v>
      </c>
      <c r="D29" s="14"/>
      <c r="E29" s="10"/>
      <c r="F29" s="21"/>
      <c r="G29" s="56" t="s">
        <v>17</v>
      </c>
      <c r="H29" s="49" t="s">
        <v>159</v>
      </c>
      <c r="I29" s="55">
        <f>$F$28+($F$28*30%)</f>
        <v>28.86</v>
      </c>
      <c r="J29" s="54"/>
      <c r="K29" s="53"/>
      <c r="L29" s="52"/>
    </row>
    <row r="30" spans="1:12" x14ac:dyDescent="0.25">
      <c r="A30" s="173"/>
      <c r="B30" s="164"/>
      <c r="C30" s="24" t="s">
        <v>158</v>
      </c>
      <c r="D30" s="4" t="s">
        <v>8</v>
      </c>
      <c r="E30" s="9" t="s">
        <v>157</v>
      </c>
      <c r="F30" s="15">
        <v>18.5</v>
      </c>
      <c r="G30" s="56" t="s">
        <v>17</v>
      </c>
      <c r="H30" s="49" t="s">
        <v>157</v>
      </c>
      <c r="I30" s="55">
        <f>$F$30+($F$30*45%)</f>
        <v>26.825000000000003</v>
      </c>
      <c r="J30" s="56" t="s">
        <v>18</v>
      </c>
      <c r="K30" s="49" t="s">
        <v>157</v>
      </c>
      <c r="L30" s="77">
        <f>$F$30+($F$30*45%)</f>
        <v>26.825000000000003</v>
      </c>
    </row>
    <row r="31" spans="1:12" x14ac:dyDescent="0.25">
      <c r="A31" s="173"/>
      <c r="B31" s="164"/>
      <c r="C31" s="24" t="s">
        <v>156</v>
      </c>
      <c r="D31" s="14"/>
      <c r="E31" s="10"/>
      <c r="F31" s="21"/>
      <c r="G31" s="56" t="s">
        <v>17</v>
      </c>
      <c r="H31" s="49" t="s">
        <v>155</v>
      </c>
      <c r="I31" s="55">
        <f>$F$30+($F$30*30%)</f>
        <v>24.05</v>
      </c>
      <c r="J31" s="54"/>
      <c r="K31" s="53"/>
      <c r="L31" s="52"/>
    </row>
    <row r="32" spans="1:12" ht="15.75" thickBot="1" x14ac:dyDescent="0.3">
      <c r="A32" s="173"/>
      <c r="B32" s="164"/>
      <c r="C32" s="134" t="s">
        <v>205</v>
      </c>
      <c r="D32" s="37"/>
      <c r="E32" s="36"/>
      <c r="F32" s="47"/>
      <c r="G32" s="43"/>
      <c r="H32" s="42"/>
      <c r="I32" s="90"/>
      <c r="J32" s="43"/>
      <c r="K32" s="42"/>
      <c r="L32" s="41"/>
    </row>
    <row r="33" spans="1:12" ht="15" customHeight="1" x14ac:dyDescent="0.25">
      <c r="A33" s="173"/>
      <c r="B33" s="163" t="s">
        <v>154</v>
      </c>
      <c r="C33" s="32" t="s">
        <v>206</v>
      </c>
      <c r="D33" s="31" t="s">
        <v>8</v>
      </c>
      <c r="E33" s="30" t="s">
        <v>153</v>
      </c>
      <c r="F33" s="61">
        <v>5.7</v>
      </c>
      <c r="G33" s="59" t="s">
        <v>17</v>
      </c>
      <c r="H33" s="58" t="s">
        <v>153</v>
      </c>
      <c r="I33" s="60">
        <f>$F$33+($F$33*45%)</f>
        <v>8.2650000000000006</v>
      </c>
      <c r="J33" s="59" t="s">
        <v>18</v>
      </c>
      <c r="K33" s="58" t="s">
        <v>153</v>
      </c>
      <c r="L33" s="57">
        <f>$F$33+($F$33*45%)</f>
        <v>8.2650000000000006</v>
      </c>
    </row>
    <row r="34" spans="1:12" x14ac:dyDescent="0.25">
      <c r="A34" s="173"/>
      <c r="B34" s="164"/>
      <c r="C34" s="24" t="s">
        <v>207</v>
      </c>
      <c r="D34" s="14"/>
      <c r="E34" s="10"/>
      <c r="F34" s="21"/>
      <c r="G34" s="56" t="s">
        <v>17</v>
      </c>
      <c r="H34" s="49" t="s">
        <v>152</v>
      </c>
      <c r="I34" s="55">
        <f>$F$33+($F$33*30%)</f>
        <v>7.41</v>
      </c>
      <c r="J34" s="54"/>
      <c r="K34" s="53"/>
      <c r="L34" s="52"/>
    </row>
    <row r="35" spans="1:12" x14ac:dyDescent="0.25">
      <c r="A35" s="173"/>
      <c r="B35" s="164"/>
      <c r="C35" s="24" t="s">
        <v>208</v>
      </c>
      <c r="D35" s="4" t="s">
        <v>8</v>
      </c>
      <c r="E35" s="9" t="s">
        <v>151</v>
      </c>
      <c r="F35" s="18">
        <v>5.2</v>
      </c>
      <c r="G35" s="56" t="s">
        <v>17</v>
      </c>
      <c r="H35" s="49" t="s">
        <v>151</v>
      </c>
      <c r="I35" s="55">
        <f>$F$35+($F$35*45%)</f>
        <v>7.5400000000000009</v>
      </c>
      <c r="J35" s="56" t="s">
        <v>18</v>
      </c>
      <c r="K35" s="49" t="s">
        <v>151</v>
      </c>
      <c r="L35" s="77">
        <v>5.27</v>
      </c>
    </row>
    <row r="36" spans="1:12" ht="15.75" thickBot="1" x14ac:dyDescent="0.3">
      <c r="A36" s="173"/>
      <c r="B36" s="165"/>
      <c r="C36" s="39" t="s">
        <v>209</v>
      </c>
      <c r="D36" s="37"/>
      <c r="E36" s="36"/>
      <c r="F36" s="47"/>
      <c r="G36" s="46" t="s">
        <v>17</v>
      </c>
      <c r="H36" s="45" t="s">
        <v>150</v>
      </c>
      <c r="I36" s="44">
        <f>$F$35+($F$35*30%)</f>
        <v>6.76</v>
      </c>
      <c r="J36" s="43"/>
      <c r="K36" s="42"/>
      <c r="L36" s="41"/>
    </row>
    <row r="37" spans="1:12" x14ac:dyDescent="0.25">
      <c r="A37" s="173"/>
      <c r="B37" s="163" t="s">
        <v>149</v>
      </c>
      <c r="C37" s="32" t="s">
        <v>148</v>
      </c>
      <c r="D37" s="89" t="s">
        <v>8</v>
      </c>
      <c r="E37" s="30" t="s">
        <v>147</v>
      </c>
      <c r="F37" s="61">
        <v>1.53</v>
      </c>
      <c r="G37" s="59" t="s">
        <v>17</v>
      </c>
      <c r="H37" s="58" t="s">
        <v>147</v>
      </c>
      <c r="I37" s="60">
        <f>$F$37+($F$37*45%)</f>
        <v>2.2185000000000001</v>
      </c>
      <c r="J37" s="59" t="s">
        <v>18</v>
      </c>
      <c r="K37" s="58" t="s">
        <v>147</v>
      </c>
      <c r="L37" s="57">
        <f>$F$37+($F$37*45%)</f>
        <v>2.2185000000000001</v>
      </c>
    </row>
    <row r="38" spans="1:12" x14ac:dyDescent="0.25">
      <c r="A38" s="173"/>
      <c r="B38" s="164"/>
      <c r="C38" s="24" t="s">
        <v>146</v>
      </c>
      <c r="D38" s="14"/>
      <c r="E38" s="10"/>
      <c r="F38" s="21"/>
      <c r="G38" s="56" t="s">
        <v>17</v>
      </c>
      <c r="H38" s="49" t="s">
        <v>145</v>
      </c>
      <c r="I38" s="55">
        <f>$F$37+($F$37*30%)</f>
        <v>1.9889999999999999</v>
      </c>
      <c r="J38" s="54"/>
      <c r="K38" s="53"/>
      <c r="L38" s="52"/>
    </row>
    <row r="39" spans="1:12" x14ac:dyDescent="0.25">
      <c r="A39" s="173"/>
      <c r="B39" s="164"/>
      <c r="C39" s="24" t="s">
        <v>144</v>
      </c>
      <c r="D39" s="4" t="s">
        <v>8</v>
      </c>
      <c r="E39" s="9" t="s">
        <v>143</v>
      </c>
      <c r="F39" s="15">
        <v>1</v>
      </c>
      <c r="G39" s="50" t="s">
        <v>17</v>
      </c>
      <c r="H39" s="49" t="s">
        <v>143</v>
      </c>
      <c r="I39" s="51">
        <f>$F$39+($F$39*45%)</f>
        <v>1.45</v>
      </c>
      <c r="J39" s="50" t="s">
        <v>18</v>
      </c>
      <c r="K39" s="49" t="s">
        <v>143</v>
      </c>
      <c r="L39" s="48">
        <f>$F$39+($F$39*45%)</f>
        <v>1.45</v>
      </c>
    </row>
    <row r="40" spans="1:12" x14ac:dyDescent="0.25">
      <c r="A40" s="173"/>
      <c r="B40" s="164"/>
      <c r="C40" s="24" t="s">
        <v>142</v>
      </c>
      <c r="D40" s="14"/>
      <c r="E40" s="10"/>
      <c r="F40" s="21"/>
      <c r="G40" s="56" t="s">
        <v>17</v>
      </c>
      <c r="H40" s="49" t="s">
        <v>141</v>
      </c>
      <c r="I40" s="55">
        <f>$F$39+($F$39*30%)</f>
        <v>1.3</v>
      </c>
      <c r="J40" s="54"/>
      <c r="K40" s="53"/>
      <c r="L40" s="52"/>
    </row>
    <row r="41" spans="1:12" x14ac:dyDescent="0.25">
      <c r="A41" s="173"/>
      <c r="B41" s="164"/>
      <c r="C41" s="24" t="s">
        <v>210</v>
      </c>
      <c r="D41" s="20" t="s">
        <v>8</v>
      </c>
      <c r="E41" s="9" t="s">
        <v>140</v>
      </c>
      <c r="F41" s="18">
        <v>4.26</v>
      </c>
      <c r="G41" s="56" t="s">
        <v>17</v>
      </c>
      <c r="H41" s="49" t="s">
        <v>140</v>
      </c>
      <c r="I41" s="55">
        <f>$F$41+($F$41*45%)</f>
        <v>6.1769999999999996</v>
      </c>
      <c r="J41" s="56" t="s">
        <v>18</v>
      </c>
      <c r="K41" s="49" t="s">
        <v>140</v>
      </c>
      <c r="L41" s="77">
        <f>$F$41+($F$41*45%)</f>
        <v>6.1769999999999996</v>
      </c>
    </row>
    <row r="42" spans="1:12" x14ac:dyDescent="0.25">
      <c r="A42" s="173"/>
      <c r="B42" s="164"/>
      <c r="C42" s="24" t="s">
        <v>211</v>
      </c>
      <c r="D42" s="14"/>
      <c r="E42" s="10"/>
      <c r="F42" s="21"/>
      <c r="G42" s="56" t="s">
        <v>17</v>
      </c>
      <c r="H42" s="49" t="s">
        <v>139</v>
      </c>
      <c r="I42" s="55">
        <f>$F$41+($F$41*30%)</f>
        <v>5.5379999999999994</v>
      </c>
      <c r="J42" s="54"/>
      <c r="K42" s="53"/>
      <c r="L42" s="52"/>
    </row>
    <row r="43" spans="1:12" x14ac:dyDescent="0.25">
      <c r="A43" s="173"/>
      <c r="B43" s="164"/>
      <c r="C43" s="24" t="s">
        <v>212</v>
      </c>
      <c r="D43" s="4" t="s">
        <v>8</v>
      </c>
      <c r="E43" s="9" t="s">
        <v>138</v>
      </c>
      <c r="F43" s="15">
        <v>3.55</v>
      </c>
      <c r="G43" s="50" t="s">
        <v>17</v>
      </c>
      <c r="H43" s="49" t="s">
        <v>138</v>
      </c>
      <c r="I43" s="51">
        <f>$F$43+($F$43*45%)</f>
        <v>5.1475</v>
      </c>
      <c r="J43" s="50" t="s">
        <v>18</v>
      </c>
      <c r="K43" s="49" t="s">
        <v>138</v>
      </c>
      <c r="L43" s="48">
        <f>$F$43+($F$43*45%)</f>
        <v>5.1475</v>
      </c>
    </row>
    <row r="44" spans="1:12" x14ac:dyDescent="0.25">
      <c r="A44" s="173"/>
      <c r="B44" s="164"/>
      <c r="C44" s="155" t="s">
        <v>213</v>
      </c>
      <c r="D44" s="14"/>
      <c r="E44" s="10"/>
      <c r="F44" s="21"/>
      <c r="G44" s="56" t="s">
        <v>17</v>
      </c>
      <c r="H44" s="49" t="s">
        <v>137</v>
      </c>
      <c r="I44" s="55">
        <f>$F$43+($F$43*30%)</f>
        <v>4.6150000000000002</v>
      </c>
      <c r="J44" s="54"/>
      <c r="K44" s="53"/>
      <c r="L44" s="52"/>
    </row>
    <row r="45" spans="1:12" ht="15.75" thickBot="1" x14ac:dyDescent="0.3">
      <c r="A45" s="173"/>
      <c r="B45" s="165"/>
      <c r="C45" s="138" t="s">
        <v>214</v>
      </c>
      <c r="D45" s="122"/>
      <c r="E45" s="123"/>
      <c r="F45" s="124"/>
      <c r="G45" s="139"/>
      <c r="H45" s="140"/>
      <c r="I45" s="141"/>
      <c r="J45" s="139"/>
      <c r="K45" s="140"/>
      <c r="L45" s="142"/>
    </row>
    <row r="46" spans="1:12" x14ac:dyDescent="0.25">
      <c r="A46" s="173"/>
      <c r="B46" s="163" t="s">
        <v>136</v>
      </c>
      <c r="C46" s="32" t="s">
        <v>135</v>
      </c>
      <c r="D46" s="31" t="s">
        <v>8</v>
      </c>
      <c r="E46" s="30" t="s">
        <v>134</v>
      </c>
      <c r="F46" s="29">
        <v>5.4</v>
      </c>
      <c r="G46" s="63" t="s">
        <v>17</v>
      </c>
      <c r="H46" s="58" t="s">
        <v>134</v>
      </c>
      <c r="I46" s="64">
        <f>$F$46+($F$46*45%)</f>
        <v>7.83</v>
      </c>
      <c r="J46" s="63" t="s">
        <v>18</v>
      </c>
      <c r="K46" s="58" t="s">
        <v>134</v>
      </c>
      <c r="L46" s="62">
        <f>$F$46+($F$46*45%)</f>
        <v>7.83</v>
      </c>
    </row>
    <row r="47" spans="1:12" x14ac:dyDescent="0.25">
      <c r="A47" s="173"/>
      <c r="B47" s="164"/>
      <c r="C47" s="24" t="s">
        <v>133</v>
      </c>
      <c r="D47" s="14"/>
      <c r="E47" s="10"/>
      <c r="F47" s="21"/>
      <c r="G47" s="56" t="s">
        <v>17</v>
      </c>
      <c r="H47" s="49" t="s">
        <v>132</v>
      </c>
      <c r="I47" s="55">
        <f>$F$46+($F$46*30%)</f>
        <v>7.0200000000000005</v>
      </c>
      <c r="J47" s="54"/>
      <c r="K47" s="53"/>
      <c r="L47" s="52"/>
    </row>
    <row r="48" spans="1:12" x14ac:dyDescent="0.25">
      <c r="A48" s="173"/>
      <c r="B48" s="164"/>
      <c r="C48" s="24" t="s">
        <v>131</v>
      </c>
      <c r="D48" s="4" t="s">
        <v>8</v>
      </c>
      <c r="E48" s="9" t="s">
        <v>130</v>
      </c>
      <c r="F48" s="15">
        <v>4.5</v>
      </c>
      <c r="G48" s="50" t="s">
        <v>17</v>
      </c>
      <c r="H48" s="49" t="s">
        <v>130</v>
      </c>
      <c r="I48" s="51">
        <f>$F$48+($F$48*45%)</f>
        <v>6.5250000000000004</v>
      </c>
      <c r="J48" s="50" t="s">
        <v>18</v>
      </c>
      <c r="K48" s="49" t="s">
        <v>130</v>
      </c>
      <c r="L48" s="48">
        <f>$F$48+($F$48*45%)</f>
        <v>6.5250000000000004</v>
      </c>
    </row>
    <row r="49" spans="1:12" x14ac:dyDescent="0.25">
      <c r="A49" s="173"/>
      <c r="B49" s="164"/>
      <c r="C49" s="24" t="s">
        <v>129</v>
      </c>
      <c r="D49" s="14"/>
      <c r="E49" s="10"/>
      <c r="F49" s="21"/>
      <c r="G49" s="56" t="s">
        <v>17</v>
      </c>
      <c r="H49" s="49" t="s">
        <v>128</v>
      </c>
      <c r="I49" s="55">
        <f>$F$48+($F$48*30%)</f>
        <v>5.85</v>
      </c>
      <c r="J49" s="54"/>
      <c r="K49" s="53"/>
      <c r="L49" s="52"/>
    </row>
    <row r="50" spans="1:12" x14ac:dyDescent="0.25">
      <c r="A50" s="173"/>
      <c r="B50" s="164"/>
      <c r="C50" s="24" t="s">
        <v>127</v>
      </c>
      <c r="D50" s="4" t="s">
        <v>8</v>
      </c>
      <c r="E50" s="9" t="s">
        <v>126</v>
      </c>
      <c r="F50" s="18">
        <v>8.52</v>
      </c>
      <c r="G50" s="56" t="s">
        <v>17</v>
      </c>
      <c r="H50" s="49" t="s">
        <v>126</v>
      </c>
      <c r="I50" s="55">
        <f>$F$50+($F$50*45%)</f>
        <v>12.353999999999999</v>
      </c>
      <c r="J50" s="56" t="s">
        <v>18</v>
      </c>
      <c r="K50" s="49" t="s">
        <v>126</v>
      </c>
      <c r="L50" s="77">
        <f>$F$50+($F$50*45%)</f>
        <v>12.353999999999999</v>
      </c>
    </row>
    <row r="51" spans="1:12" x14ac:dyDescent="0.25">
      <c r="A51" s="173"/>
      <c r="B51" s="164"/>
      <c r="C51" s="24" t="s">
        <v>125</v>
      </c>
      <c r="D51" s="14"/>
      <c r="E51" s="10"/>
      <c r="F51" s="21"/>
      <c r="G51" s="56" t="s">
        <v>17</v>
      </c>
      <c r="H51" s="49" t="s">
        <v>124</v>
      </c>
      <c r="I51" s="55">
        <f>$F$50+($F$50*30%)</f>
        <v>11.075999999999999</v>
      </c>
      <c r="J51" s="54"/>
      <c r="K51" s="53"/>
      <c r="L51" s="52"/>
    </row>
    <row r="52" spans="1:12" x14ac:dyDescent="0.25">
      <c r="A52" s="173"/>
      <c r="B52" s="164"/>
      <c r="C52" s="24" t="s">
        <v>123</v>
      </c>
      <c r="D52" s="4" t="s">
        <v>8</v>
      </c>
      <c r="E52" s="9" t="s">
        <v>122</v>
      </c>
      <c r="F52" s="18">
        <v>7.1</v>
      </c>
      <c r="G52" s="56" t="s">
        <v>17</v>
      </c>
      <c r="H52" s="49" t="s">
        <v>122</v>
      </c>
      <c r="I52" s="55">
        <f>$F$52+($F$52*45%)</f>
        <v>10.295</v>
      </c>
      <c r="J52" s="56" t="s">
        <v>18</v>
      </c>
      <c r="K52" s="49" t="s">
        <v>122</v>
      </c>
      <c r="L52" s="77">
        <f>$F$52+($F$52*45%)</f>
        <v>10.295</v>
      </c>
    </row>
    <row r="53" spans="1:12" ht="15.75" thickBot="1" x14ac:dyDescent="0.3">
      <c r="A53" s="173"/>
      <c r="B53" s="165"/>
      <c r="C53" s="39" t="s">
        <v>121</v>
      </c>
      <c r="D53" s="37"/>
      <c r="E53" s="36"/>
      <c r="F53" s="47"/>
      <c r="G53" s="46" t="s">
        <v>17</v>
      </c>
      <c r="H53" s="45" t="s">
        <v>120</v>
      </c>
      <c r="I53" s="44">
        <f>$F$52+($F$52*30%)</f>
        <v>9.23</v>
      </c>
      <c r="J53" s="43"/>
      <c r="K53" s="42"/>
      <c r="L53" s="41"/>
    </row>
    <row r="54" spans="1:12" x14ac:dyDescent="0.25">
      <c r="A54" s="173"/>
      <c r="B54" s="163" t="s">
        <v>119</v>
      </c>
      <c r="C54" s="136" t="s">
        <v>215</v>
      </c>
      <c r="D54" s="8" t="s">
        <v>8</v>
      </c>
      <c r="E54" s="86" t="s">
        <v>118</v>
      </c>
      <c r="F54" s="128">
        <v>10</v>
      </c>
      <c r="G54" s="83" t="s">
        <v>17</v>
      </c>
      <c r="H54" s="82" t="s">
        <v>118</v>
      </c>
      <c r="I54" s="143">
        <v>10</v>
      </c>
      <c r="J54" s="83" t="s">
        <v>18</v>
      </c>
      <c r="K54" s="82" t="s">
        <v>118</v>
      </c>
      <c r="L54" s="81">
        <f>$F$54+($F$54*45%)</f>
        <v>14.5</v>
      </c>
    </row>
    <row r="55" spans="1:12" x14ac:dyDescent="0.25">
      <c r="A55" s="173"/>
      <c r="B55" s="164"/>
      <c r="C55" s="24" t="s">
        <v>216</v>
      </c>
      <c r="D55" s="14"/>
      <c r="E55" s="10"/>
      <c r="F55" s="21"/>
      <c r="G55" s="56" t="s">
        <v>17</v>
      </c>
      <c r="H55" s="49" t="s">
        <v>117</v>
      </c>
      <c r="I55" s="55">
        <v>10</v>
      </c>
      <c r="J55" s="54"/>
      <c r="K55" s="53"/>
      <c r="L55" s="52"/>
    </row>
    <row r="56" spans="1:12" x14ac:dyDescent="0.25">
      <c r="A56" s="173"/>
      <c r="B56" s="164"/>
      <c r="C56" s="24" t="s">
        <v>217</v>
      </c>
      <c r="D56" s="4" t="s">
        <v>8</v>
      </c>
      <c r="E56" s="9" t="s">
        <v>116</v>
      </c>
      <c r="F56" s="15">
        <v>10</v>
      </c>
      <c r="G56" s="50" t="s">
        <v>17</v>
      </c>
      <c r="H56" s="49" t="s">
        <v>116</v>
      </c>
      <c r="I56" s="51">
        <v>10</v>
      </c>
      <c r="J56" s="50" t="s">
        <v>18</v>
      </c>
      <c r="K56" s="49" t="s">
        <v>116</v>
      </c>
      <c r="L56" s="48">
        <f>$F$56+($F$56*45%)</f>
        <v>14.5</v>
      </c>
    </row>
    <row r="57" spans="1:12" x14ac:dyDescent="0.25">
      <c r="A57" s="173"/>
      <c r="B57" s="164"/>
      <c r="C57" s="24" t="s">
        <v>218</v>
      </c>
      <c r="D57" s="14"/>
      <c r="E57" s="10"/>
      <c r="F57" s="21"/>
      <c r="G57" s="56" t="s">
        <v>17</v>
      </c>
      <c r="H57" s="49" t="s">
        <v>115</v>
      </c>
      <c r="I57" s="55">
        <v>10</v>
      </c>
      <c r="J57" s="54"/>
      <c r="K57" s="53"/>
      <c r="L57" s="52"/>
    </row>
    <row r="58" spans="1:12" ht="15.75" thickBot="1" x14ac:dyDescent="0.3">
      <c r="A58" s="173"/>
      <c r="B58" s="164"/>
      <c r="C58" s="39" t="s">
        <v>219</v>
      </c>
      <c r="D58" s="91" t="s">
        <v>8</v>
      </c>
      <c r="E58" s="34" t="s">
        <v>220</v>
      </c>
      <c r="F58" s="92">
        <v>25</v>
      </c>
      <c r="G58" s="46" t="s">
        <v>17</v>
      </c>
      <c r="H58" s="45" t="s">
        <v>220</v>
      </c>
      <c r="I58" s="44">
        <v>25</v>
      </c>
      <c r="J58" s="46" t="s">
        <v>18</v>
      </c>
      <c r="K58" s="45" t="s">
        <v>220</v>
      </c>
      <c r="L58" s="65">
        <f>$F$58+($F$58*45%)</f>
        <v>36.25</v>
      </c>
    </row>
    <row r="59" spans="1:12" ht="15" customHeight="1" x14ac:dyDescent="0.25">
      <c r="A59" s="173"/>
      <c r="B59" s="163" t="s">
        <v>114</v>
      </c>
      <c r="C59" s="32" t="s">
        <v>221</v>
      </c>
      <c r="D59" s="31" t="s">
        <v>8</v>
      </c>
      <c r="E59" s="30" t="s">
        <v>113</v>
      </c>
      <c r="F59" s="29">
        <v>1</v>
      </c>
      <c r="G59" s="63" t="s">
        <v>17</v>
      </c>
      <c r="H59" s="58" t="s">
        <v>113</v>
      </c>
      <c r="I59" s="64">
        <v>1</v>
      </c>
      <c r="J59" s="63" t="s">
        <v>18</v>
      </c>
      <c r="K59" s="58" t="s">
        <v>113</v>
      </c>
      <c r="L59" s="62">
        <f>$F$59+($F$59*45%)</f>
        <v>1.45</v>
      </c>
    </row>
    <row r="60" spans="1:12" x14ac:dyDescent="0.25">
      <c r="A60" s="173"/>
      <c r="B60" s="164"/>
      <c r="C60" s="24" t="s">
        <v>222</v>
      </c>
      <c r="D60" s="4" t="s">
        <v>8</v>
      </c>
      <c r="E60" s="9" t="s">
        <v>112</v>
      </c>
      <c r="F60" s="18">
        <v>1.5</v>
      </c>
      <c r="G60" s="56" t="s">
        <v>17</v>
      </c>
      <c r="H60" s="49" t="s">
        <v>112</v>
      </c>
      <c r="I60" s="55">
        <v>1.5</v>
      </c>
      <c r="J60" s="56" t="s">
        <v>18</v>
      </c>
      <c r="K60" s="49" t="s">
        <v>112</v>
      </c>
      <c r="L60" s="77">
        <f>$F$60+($F$60*45%)</f>
        <v>2.1749999999999998</v>
      </c>
    </row>
    <row r="61" spans="1:12" x14ac:dyDescent="0.25">
      <c r="A61" s="173"/>
      <c r="B61" s="164"/>
      <c r="C61" s="24" t="s">
        <v>223</v>
      </c>
      <c r="D61" s="4" t="s">
        <v>8</v>
      </c>
      <c r="E61" s="9" t="s">
        <v>111</v>
      </c>
      <c r="F61" s="18">
        <v>1.5</v>
      </c>
      <c r="G61" s="56" t="s">
        <v>17</v>
      </c>
      <c r="H61" s="49" t="s">
        <v>111</v>
      </c>
      <c r="I61" s="55">
        <v>1.5</v>
      </c>
      <c r="J61" s="56" t="s">
        <v>18</v>
      </c>
      <c r="K61" s="49" t="s">
        <v>111</v>
      </c>
      <c r="L61" s="77">
        <f>$F$61+($F$61*45%)</f>
        <v>2.1749999999999998</v>
      </c>
    </row>
    <row r="62" spans="1:12" x14ac:dyDescent="0.25">
      <c r="A62" s="173"/>
      <c r="B62" s="164"/>
      <c r="C62" s="24" t="s">
        <v>224</v>
      </c>
      <c r="D62" s="4" t="s">
        <v>8</v>
      </c>
      <c r="E62" s="9" t="s">
        <v>110</v>
      </c>
      <c r="F62" s="15">
        <v>2</v>
      </c>
      <c r="G62" s="50" t="s">
        <v>17</v>
      </c>
      <c r="H62" s="49" t="s">
        <v>110</v>
      </c>
      <c r="I62" s="51">
        <v>2</v>
      </c>
      <c r="J62" s="50" t="s">
        <v>18</v>
      </c>
      <c r="K62" s="49" t="s">
        <v>110</v>
      </c>
      <c r="L62" s="48">
        <f>$F$62+($F$62*45%)</f>
        <v>2.9</v>
      </c>
    </row>
    <row r="63" spans="1:12" ht="15.75" thickBot="1" x14ac:dyDescent="0.3">
      <c r="A63" s="173"/>
      <c r="B63" s="165"/>
      <c r="C63" s="134" t="s">
        <v>225</v>
      </c>
      <c r="D63" s="37"/>
      <c r="E63" s="36"/>
      <c r="F63" s="47"/>
      <c r="G63" s="43"/>
      <c r="H63" s="42"/>
      <c r="I63" s="90"/>
      <c r="J63" s="43"/>
      <c r="K63" s="42"/>
      <c r="L63" s="41"/>
    </row>
    <row r="64" spans="1:12" ht="15" customHeight="1" x14ac:dyDescent="0.25">
      <c r="A64" s="173"/>
      <c r="B64" s="163" t="s">
        <v>109</v>
      </c>
      <c r="C64" s="136" t="s">
        <v>226</v>
      </c>
      <c r="D64" s="8" t="s">
        <v>8</v>
      </c>
      <c r="E64" s="86" t="s">
        <v>108</v>
      </c>
      <c r="F64" s="128">
        <v>5.5</v>
      </c>
      <c r="G64" s="83" t="s">
        <v>17</v>
      </c>
      <c r="H64" s="82" t="s">
        <v>108</v>
      </c>
      <c r="I64" s="143">
        <v>5.5</v>
      </c>
      <c r="J64" s="83" t="s">
        <v>18</v>
      </c>
      <c r="K64" s="82" t="s">
        <v>108</v>
      </c>
      <c r="L64" s="81">
        <f>$F$64+($F$64*45%)</f>
        <v>7.9749999999999996</v>
      </c>
    </row>
    <row r="65" spans="1:12" x14ac:dyDescent="0.25">
      <c r="A65" s="173"/>
      <c r="B65" s="164"/>
      <c r="C65" s="24" t="s">
        <v>227</v>
      </c>
      <c r="D65" s="4" t="s">
        <v>8</v>
      </c>
      <c r="E65" s="9" t="s">
        <v>107</v>
      </c>
      <c r="F65" s="15">
        <v>5</v>
      </c>
      <c r="G65" s="50" t="s">
        <v>17</v>
      </c>
      <c r="H65" s="49" t="s">
        <v>107</v>
      </c>
      <c r="I65" s="51">
        <v>5</v>
      </c>
      <c r="J65" s="50" t="s">
        <v>18</v>
      </c>
      <c r="K65" s="49" t="s">
        <v>107</v>
      </c>
      <c r="L65" s="48">
        <f>$F$65+($F$65*45%)</f>
        <v>7.25</v>
      </c>
    </row>
    <row r="66" spans="1:12" x14ac:dyDescent="0.25">
      <c r="A66" s="173"/>
      <c r="B66" s="164"/>
      <c r="C66" s="24" t="s">
        <v>228</v>
      </c>
      <c r="D66" s="4" t="s">
        <v>8</v>
      </c>
      <c r="E66" s="9" t="s">
        <v>106</v>
      </c>
      <c r="F66" s="15">
        <v>8.25</v>
      </c>
      <c r="G66" s="50" t="s">
        <v>17</v>
      </c>
      <c r="H66" s="49" t="s">
        <v>106</v>
      </c>
      <c r="I66" s="51">
        <v>8.25</v>
      </c>
      <c r="J66" s="50" t="s">
        <v>18</v>
      </c>
      <c r="K66" s="49" t="s">
        <v>106</v>
      </c>
      <c r="L66" s="48">
        <f>$F$66+($F$66*45%)</f>
        <v>11.9625</v>
      </c>
    </row>
    <row r="67" spans="1:12" x14ac:dyDescent="0.25">
      <c r="A67" s="173"/>
      <c r="B67" s="164"/>
      <c r="C67" s="24" t="s">
        <v>229</v>
      </c>
      <c r="D67" s="4" t="s">
        <v>8</v>
      </c>
      <c r="E67" s="9" t="s">
        <v>105</v>
      </c>
      <c r="F67" s="15">
        <v>7.75</v>
      </c>
      <c r="G67" s="50" t="s">
        <v>17</v>
      </c>
      <c r="H67" s="49" t="s">
        <v>105</v>
      </c>
      <c r="I67" s="51">
        <f>$F$67+($F$67*45%)</f>
        <v>11.237500000000001</v>
      </c>
      <c r="J67" s="50" t="s">
        <v>18</v>
      </c>
      <c r="K67" s="49" t="s">
        <v>105</v>
      </c>
      <c r="L67" s="48">
        <f>$F$67+($F$67*45%)</f>
        <v>11.237500000000001</v>
      </c>
    </row>
    <row r="68" spans="1:12" x14ac:dyDescent="0.25">
      <c r="A68" s="173"/>
      <c r="B68" s="164"/>
      <c r="C68" s="24" t="s">
        <v>230</v>
      </c>
      <c r="D68" s="4" t="s">
        <v>8</v>
      </c>
      <c r="E68" s="9" t="s">
        <v>104</v>
      </c>
      <c r="F68" s="15">
        <v>20</v>
      </c>
      <c r="G68" s="54"/>
      <c r="H68" s="53"/>
      <c r="I68" s="88"/>
      <c r="J68" s="54"/>
      <c r="K68" s="53"/>
      <c r="L68" s="52"/>
    </row>
    <row r="69" spans="1:12" x14ac:dyDescent="0.25">
      <c r="A69" s="173"/>
      <c r="B69" s="164"/>
      <c r="C69" s="24" t="s">
        <v>231</v>
      </c>
      <c r="D69" s="4" t="s">
        <v>8</v>
      </c>
      <c r="E69" s="9" t="s">
        <v>103</v>
      </c>
      <c r="F69" s="15">
        <v>30</v>
      </c>
      <c r="G69" s="54"/>
      <c r="H69" s="53"/>
      <c r="I69" s="88"/>
      <c r="J69" s="54"/>
      <c r="K69" s="53"/>
      <c r="L69" s="52"/>
    </row>
    <row r="70" spans="1:12" ht="15.75" thickBot="1" x14ac:dyDescent="0.3">
      <c r="A70" s="173"/>
      <c r="B70" s="164"/>
      <c r="C70" s="134" t="s">
        <v>102</v>
      </c>
      <c r="D70" s="113" t="s">
        <v>8</v>
      </c>
      <c r="E70" s="114" t="s">
        <v>101</v>
      </c>
      <c r="F70" s="144"/>
      <c r="G70" s="43"/>
      <c r="H70" s="42"/>
      <c r="I70" s="90"/>
      <c r="J70" s="43"/>
      <c r="K70" s="42"/>
      <c r="L70" s="41"/>
    </row>
    <row r="71" spans="1:12" ht="15" customHeight="1" x14ac:dyDescent="0.25">
      <c r="A71" s="173"/>
      <c r="B71" s="163" t="s">
        <v>100</v>
      </c>
      <c r="C71" s="32" t="s">
        <v>99</v>
      </c>
      <c r="D71" s="31" t="s">
        <v>8</v>
      </c>
      <c r="E71" s="30" t="s">
        <v>98</v>
      </c>
      <c r="F71" s="29">
        <v>1.5</v>
      </c>
      <c r="G71" s="63" t="s">
        <v>17</v>
      </c>
      <c r="H71" s="58" t="s">
        <v>98</v>
      </c>
      <c r="I71" s="64">
        <f>$F$71+($F$71*45%)</f>
        <v>2.1749999999999998</v>
      </c>
      <c r="J71" s="63" t="s">
        <v>18</v>
      </c>
      <c r="K71" s="58" t="s">
        <v>98</v>
      </c>
      <c r="L71" s="62">
        <f>$F$71+($F$71*45%)</f>
        <v>2.1749999999999998</v>
      </c>
    </row>
    <row r="72" spans="1:12" x14ac:dyDescent="0.25">
      <c r="A72" s="173"/>
      <c r="B72" s="164"/>
      <c r="C72" s="24" t="s">
        <v>97</v>
      </c>
      <c r="D72" s="14"/>
      <c r="E72" s="10"/>
      <c r="F72" s="21"/>
      <c r="G72" s="56" t="s">
        <v>17</v>
      </c>
      <c r="H72" s="49" t="s">
        <v>96</v>
      </c>
      <c r="I72" s="55">
        <f>$F$71+($F$71*30%)</f>
        <v>1.95</v>
      </c>
      <c r="J72" s="54"/>
      <c r="K72" s="53"/>
      <c r="L72" s="52"/>
    </row>
    <row r="73" spans="1:12" x14ac:dyDescent="0.25">
      <c r="A73" s="173"/>
      <c r="B73" s="164"/>
      <c r="C73" s="24" t="s">
        <v>95</v>
      </c>
      <c r="D73" s="4" t="s">
        <v>8</v>
      </c>
      <c r="E73" s="9" t="s">
        <v>94</v>
      </c>
      <c r="F73" s="15">
        <v>15</v>
      </c>
      <c r="G73" s="50" t="s">
        <v>17</v>
      </c>
      <c r="H73" s="49" t="s">
        <v>94</v>
      </c>
      <c r="I73" s="51">
        <f>$F$73+($F$73*45%)</f>
        <v>21.75</v>
      </c>
      <c r="J73" s="50" t="s">
        <v>18</v>
      </c>
      <c r="K73" s="49" t="s">
        <v>94</v>
      </c>
      <c r="L73" s="48">
        <f>$F$73+($F$73*45%)</f>
        <v>21.75</v>
      </c>
    </row>
    <row r="74" spans="1:12" ht="15.75" thickBot="1" x14ac:dyDescent="0.3">
      <c r="A74" s="173"/>
      <c r="B74" s="165"/>
      <c r="C74" s="39" t="s">
        <v>93</v>
      </c>
      <c r="D74" s="37"/>
      <c r="E74" s="36"/>
      <c r="F74" s="47"/>
      <c r="G74" s="46" t="s">
        <v>17</v>
      </c>
      <c r="H74" s="45" t="s">
        <v>92</v>
      </c>
      <c r="I74" s="44">
        <f>$F$73+($F$73*30%)</f>
        <v>19.5</v>
      </c>
      <c r="J74" s="43"/>
      <c r="K74" s="42"/>
      <c r="L74" s="41"/>
    </row>
    <row r="75" spans="1:12" ht="15" customHeight="1" x14ac:dyDescent="0.25">
      <c r="A75" s="173"/>
      <c r="B75" s="163" t="s">
        <v>91</v>
      </c>
      <c r="C75" s="32" t="s">
        <v>90</v>
      </c>
      <c r="D75" s="31" t="s">
        <v>8</v>
      </c>
      <c r="E75" s="30" t="s">
        <v>89</v>
      </c>
      <c r="F75" s="29">
        <v>1</v>
      </c>
      <c r="G75" s="63" t="s">
        <v>17</v>
      </c>
      <c r="H75" s="58" t="s">
        <v>89</v>
      </c>
      <c r="I75" s="64">
        <f>$F$75+($F$75*45%)</f>
        <v>1.45</v>
      </c>
      <c r="J75" s="63" t="s">
        <v>18</v>
      </c>
      <c r="K75" s="58" t="s">
        <v>89</v>
      </c>
      <c r="L75" s="62">
        <f>$F$75+($F$75*45%)</f>
        <v>1.45</v>
      </c>
    </row>
    <row r="76" spans="1:12" x14ac:dyDescent="0.25">
      <c r="A76" s="173"/>
      <c r="B76" s="164"/>
      <c r="C76" s="24" t="s">
        <v>88</v>
      </c>
      <c r="D76" s="14"/>
      <c r="E76" s="10"/>
      <c r="F76" s="21"/>
      <c r="G76" s="56" t="s">
        <v>17</v>
      </c>
      <c r="H76" s="49" t="s">
        <v>87</v>
      </c>
      <c r="I76" s="55">
        <f>$F$75+($F$75*30%)</f>
        <v>1.3</v>
      </c>
      <c r="J76" s="54"/>
      <c r="K76" s="53"/>
      <c r="L76" s="52"/>
    </row>
    <row r="77" spans="1:12" x14ac:dyDescent="0.25">
      <c r="A77" s="173"/>
      <c r="B77" s="164"/>
      <c r="C77" s="24" t="s">
        <v>232</v>
      </c>
      <c r="D77" s="4" t="s">
        <v>8</v>
      </c>
      <c r="E77" s="9" t="s">
        <v>86</v>
      </c>
      <c r="F77" s="15">
        <v>1.5</v>
      </c>
      <c r="G77" s="50" t="s">
        <v>17</v>
      </c>
      <c r="H77" s="49" t="s">
        <v>86</v>
      </c>
      <c r="I77" s="51">
        <f>$F$77+($F$77*45%)</f>
        <v>2.1749999999999998</v>
      </c>
      <c r="J77" s="50" t="s">
        <v>18</v>
      </c>
      <c r="K77" s="49" t="s">
        <v>86</v>
      </c>
      <c r="L77" s="48">
        <f>$F$77+($F$77*45%)</f>
        <v>2.1749999999999998</v>
      </c>
    </row>
    <row r="78" spans="1:12" ht="15.75" thickBot="1" x14ac:dyDescent="0.3">
      <c r="A78" s="173"/>
      <c r="B78" s="165"/>
      <c r="C78" s="39" t="s">
        <v>233</v>
      </c>
      <c r="D78" s="37"/>
      <c r="E78" s="36"/>
      <c r="F78" s="47"/>
      <c r="G78" s="46" t="s">
        <v>17</v>
      </c>
      <c r="H78" s="45" t="s">
        <v>85</v>
      </c>
      <c r="I78" s="44">
        <f>$F$77+($F$77*30%)</f>
        <v>1.95</v>
      </c>
      <c r="J78" s="43"/>
      <c r="K78" s="42"/>
      <c r="L78" s="41"/>
    </row>
    <row r="79" spans="1:12" ht="15" customHeight="1" x14ac:dyDescent="0.25">
      <c r="A79" s="173"/>
      <c r="B79" s="163" t="s">
        <v>84</v>
      </c>
      <c r="C79" s="87" t="s">
        <v>83</v>
      </c>
      <c r="D79" s="8" t="s">
        <v>8</v>
      </c>
      <c r="E79" s="86" t="s">
        <v>82</v>
      </c>
      <c r="F79" s="85">
        <v>8.25</v>
      </c>
      <c r="G79" s="83" t="s">
        <v>17</v>
      </c>
      <c r="H79" s="82" t="s">
        <v>82</v>
      </c>
      <c r="I79" s="84">
        <v>8.5</v>
      </c>
      <c r="J79" s="83" t="s">
        <v>18</v>
      </c>
      <c r="K79" s="82" t="s">
        <v>82</v>
      </c>
      <c r="L79" s="81">
        <f>$F$79+($F$79*45%)</f>
        <v>11.9625</v>
      </c>
    </row>
    <row r="80" spans="1:12" x14ac:dyDescent="0.25">
      <c r="A80" s="173"/>
      <c r="B80" s="164"/>
      <c r="C80" s="79" t="s">
        <v>81</v>
      </c>
      <c r="D80" s="14"/>
      <c r="E80" s="10"/>
      <c r="F80" s="17"/>
      <c r="G80" s="56" t="s">
        <v>17</v>
      </c>
      <c r="H80" s="49" t="s">
        <v>80</v>
      </c>
      <c r="I80" s="78">
        <v>8.25</v>
      </c>
      <c r="J80" s="54"/>
      <c r="K80" s="53"/>
      <c r="L80" s="52"/>
    </row>
    <row r="81" spans="1:12" x14ac:dyDescent="0.25">
      <c r="A81" s="173"/>
      <c r="B81" s="164"/>
      <c r="C81" s="79" t="s">
        <v>79</v>
      </c>
      <c r="D81" s="4" t="s">
        <v>8</v>
      </c>
      <c r="E81" s="9" t="s">
        <v>78</v>
      </c>
      <c r="F81" s="12">
        <v>5.5</v>
      </c>
      <c r="G81" s="50" t="s">
        <v>17</v>
      </c>
      <c r="H81" s="49" t="s">
        <v>78</v>
      </c>
      <c r="I81" s="80">
        <v>5.5</v>
      </c>
      <c r="J81" s="50" t="s">
        <v>18</v>
      </c>
      <c r="K81" s="49" t="s">
        <v>78</v>
      </c>
      <c r="L81" s="48">
        <f>$F$81+($F$81*45%)</f>
        <v>7.9749999999999996</v>
      </c>
    </row>
    <row r="82" spans="1:12" x14ac:dyDescent="0.25">
      <c r="A82" s="173"/>
      <c r="B82" s="164"/>
      <c r="C82" s="79" t="s">
        <v>77</v>
      </c>
      <c r="D82" s="14"/>
      <c r="E82" s="10"/>
      <c r="F82" s="17"/>
      <c r="G82" s="56" t="s">
        <v>17</v>
      </c>
      <c r="H82" s="49" t="s">
        <v>76</v>
      </c>
      <c r="I82" s="78">
        <v>5.5</v>
      </c>
      <c r="J82" s="54"/>
      <c r="K82" s="53"/>
      <c r="L82" s="52"/>
    </row>
    <row r="83" spans="1:12" x14ac:dyDescent="0.25">
      <c r="A83" s="173"/>
      <c r="B83" s="164"/>
      <c r="C83" s="79" t="s">
        <v>75</v>
      </c>
      <c r="D83" s="4" t="s">
        <v>8</v>
      </c>
      <c r="E83" s="9" t="s">
        <v>74</v>
      </c>
      <c r="F83" s="12">
        <v>17.760000000000002</v>
      </c>
      <c r="G83" s="50" t="s">
        <v>17</v>
      </c>
      <c r="H83" s="49" t="s">
        <v>74</v>
      </c>
      <c r="I83" s="80">
        <v>17.760000000000002</v>
      </c>
      <c r="J83" s="50" t="s">
        <v>18</v>
      </c>
      <c r="K83" s="49" t="s">
        <v>74</v>
      </c>
      <c r="L83" s="48">
        <f>$F$83+($F$83*45%)</f>
        <v>25.752000000000002</v>
      </c>
    </row>
    <row r="84" spans="1:12" x14ac:dyDescent="0.25">
      <c r="A84" s="173"/>
      <c r="B84" s="164"/>
      <c r="C84" s="79" t="s">
        <v>73</v>
      </c>
      <c r="D84" s="14"/>
      <c r="E84" s="10"/>
      <c r="F84" s="17"/>
      <c r="G84" s="56" t="s">
        <v>17</v>
      </c>
      <c r="H84" s="49" t="s">
        <v>72</v>
      </c>
      <c r="I84" s="78">
        <v>17.760000000000002</v>
      </c>
      <c r="J84" s="54"/>
      <c r="K84" s="53"/>
      <c r="L84" s="52"/>
    </row>
    <row r="85" spans="1:12" x14ac:dyDescent="0.25">
      <c r="A85" s="173"/>
      <c r="B85" s="164"/>
      <c r="C85" s="79" t="s">
        <v>234</v>
      </c>
      <c r="D85" s="4" t="s">
        <v>8</v>
      </c>
      <c r="E85" s="9" t="s">
        <v>71</v>
      </c>
      <c r="F85" s="23">
        <v>11.84</v>
      </c>
      <c r="G85" s="56" t="s">
        <v>17</v>
      </c>
      <c r="H85" s="49" t="s">
        <v>71</v>
      </c>
      <c r="I85" s="78">
        <v>11.84</v>
      </c>
      <c r="J85" s="56" t="s">
        <v>18</v>
      </c>
      <c r="K85" s="49" t="s">
        <v>71</v>
      </c>
      <c r="L85" s="77">
        <f>$F$85+($F$85*45%)</f>
        <v>17.167999999999999</v>
      </c>
    </row>
    <row r="86" spans="1:12" x14ac:dyDescent="0.25">
      <c r="A86" s="173"/>
      <c r="B86" s="164"/>
      <c r="C86" s="76" t="s">
        <v>70</v>
      </c>
      <c r="D86" s="75"/>
      <c r="E86" s="74"/>
      <c r="F86" s="73"/>
      <c r="G86" s="72" t="s">
        <v>17</v>
      </c>
      <c r="H86" s="71" t="s">
        <v>69</v>
      </c>
      <c r="I86" s="70">
        <v>11.84</v>
      </c>
      <c r="J86" s="69"/>
      <c r="K86" s="68"/>
      <c r="L86" s="67"/>
    </row>
    <row r="87" spans="1:12" x14ac:dyDescent="0.25">
      <c r="A87" s="173"/>
      <c r="B87" s="164"/>
      <c r="C87" s="76" t="s">
        <v>235</v>
      </c>
      <c r="D87" s="105" t="s">
        <v>8</v>
      </c>
      <c r="E87" s="106" t="s">
        <v>236</v>
      </c>
      <c r="F87" s="159">
        <v>12</v>
      </c>
      <c r="G87" s="72" t="s">
        <v>17</v>
      </c>
      <c r="H87" s="71" t="s">
        <v>236</v>
      </c>
      <c r="I87" s="70">
        <v>12</v>
      </c>
      <c r="J87" s="72" t="s">
        <v>18</v>
      </c>
      <c r="K87" s="71" t="s">
        <v>236</v>
      </c>
      <c r="L87" s="77">
        <f>$F$87+($F$87*45%)</f>
        <v>17.399999999999999</v>
      </c>
    </row>
    <row r="88" spans="1:12" x14ac:dyDescent="0.25">
      <c r="A88" s="173"/>
      <c r="B88" s="164"/>
      <c r="C88" s="155" t="s">
        <v>237</v>
      </c>
      <c r="D88" s="56" t="s">
        <v>8</v>
      </c>
      <c r="E88" s="49" t="s">
        <v>238</v>
      </c>
      <c r="F88" s="77">
        <v>8</v>
      </c>
      <c r="G88" s="14"/>
      <c r="H88" s="10"/>
      <c r="I88" s="17"/>
      <c r="J88" s="56" t="s">
        <v>18</v>
      </c>
      <c r="K88" s="49" t="s">
        <v>238</v>
      </c>
      <c r="L88" s="77">
        <f>$F$88+($F$88*45%)</f>
        <v>11.6</v>
      </c>
    </row>
    <row r="89" spans="1:12" x14ac:dyDescent="0.25">
      <c r="A89" s="173"/>
      <c r="B89" s="164"/>
      <c r="C89" s="133" t="s">
        <v>239</v>
      </c>
      <c r="D89" s="56" t="s">
        <v>8</v>
      </c>
      <c r="E89" s="49" t="s">
        <v>240</v>
      </c>
      <c r="F89" s="77">
        <v>30</v>
      </c>
      <c r="G89" s="20" t="s">
        <v>17</v>
      </c>
      <c r="H89" s="9" t="s">
        <v>240</v>
      </c>
      <c r="I89" s="23">
        <v>30</v>
      </c>
      <c r="J89" s="56" t="s">
        <v>18</v>
      </c>
      <c r="K89" s="49" t="s">
        <v>240</v>
      </c>
      <c r="L89" s="77">
        <f>$F$89+($F$89*45%)</f>
        <v>43.5</v>
      </c>
    </row>
    <row r="90" spans="1:12" ht="15.75" thickBot="1" x14ac:dyDescent="0.3">
      <c r="A90" s="173"/>
      <c r="B90" s="165"/>
      <c r="C90" s="134" t="s">
        <v>241</v>
      </c>
      <c r="D90" s="139"/>
      <c r="E90" s="140"/>
      <c r="F90" s="142"/>
      <c r="G90" s="122"/>
      <c r="H90" s="123"/>
      <c r="I90" s="145"/>
      <c r="J90" s="139"/>
      <c r="K90" s="140"/>
      <c r="L90" s="142"/>
    </row>
    <row r="91" spans="1:12" ht="15" customHeight="1" x14ac:dyDescent="0.25">
      <c r="A91" s="173"/>
      <c r="B91" s="163" t="s">
        <v>68</v>
      </c>
      <c r="C91" s="32" t="s">
        <v>242</v>
      </c>
      <c r="D91" s="31" t="s">
        <v>8</v>
      </c>
      <c r="E91" s="30" t="s">
        <v>67</v>
      </c>
      <c r="F91" s="29">
        <v>5</v>
      </c>
      <c r="G91" s="63" t="s">
        <v>17</v>
      </c>
      <c r="H91" s="58" t="s">
        <v>67</v>
      </c>
      <c r="I91" s="64">
        <v>5</v>
      </c>
      <c r="J91" s="63" t="s">
        <v>18</v>
      </c>
      <c r="K91" s="58" t="s">
        <v>67</v>
      </c>
      <c r="L91" s="62">
        <f>$F$91+($F$91*45%)</f>
        <v>7.25</v>
      </c>
    </row>
    <row r="92" spans="1:12" x14ac:dyDescent="0.25">
      <c r="A92" s="173"/>
      <c r="B92" s="164"/>
      <c r="C92" s="24" t="s">
        <v>243</v>
      </c>
      <c r="D92" s="14"/>
      <c r="E92" s="10"/>
      <c r="F92" s="21"/>
      <c r="G92" s="56" t="s">
        <v>17</v>
      </c>
      <c r="H92" s="49" t="s">
        <v>66</v>
      </c>
      <c r="I92" s="55">
        <v>5</v>
      </c>
      <c r="J92" s="54"/>
      <c r="K92" s="53"/>
      <c r="L92" s="52"/>
    </row>
    <row r="93" spans="1:12" x14ac:dyDescent="0.25">
      <c r="A93" s="173"/>
      <c r="B93" s="164"/>
      <c r="C93" s="24" t="s">
        <v>244</v>
      </c>
      <c r="D93" s="4" t="s">
        <v>8</v>
      </c>
      <c r="E93" s="9" t="s">
        <v>65</v>
      </c>
      <c r="F93" s="15">
        <v>7.5</v>
      </c>
      <c r="G93" s="50" t="s">
        <v>17</v>
      </c>
      <c r="H93" s="49" t="s">
        <v>65</v>
      </c>
      <c r="I93" s="51">
        <v>7.5</v>
      </c>
      <c r="J93" s="50" t="s">
        <v>18</v>
      </c>
      <c r="K93" s="49" t="s">
        <v>65</v>
      </c>
      <c r="L93" s="48">
        <f>$F$93+($F$93*45%)</f>
        <v>10.875</v>
      </c>
    </row>
    <row r="94" spans="1:12" x14ac:dyDescent="0.25">
      <c r="A94" s="173"/>
      <c r="B94" s="164"/>
      <c r="C94" s="133" t="s">
        <v>245</v>
      </c>
      <c r="D94" s="146"/>
      <c r="E94" s="147"/>
      <c r="F94" s="148"/>
      <c r="G94" s="149" t="s">
        <v>17</v>
      </c>
      <c r="H94" s="71" t="s">
        <v>64</v>
      </c>
      <c r="I94" s="150">
        <v>7.5</v>
      </c>
      <c r="J94" s="151"/>
      <c r="K94" s="152"/>
      <c r="L94" s="153"/>
    </row>
    <row r="95" spans="1:12" ht="15.75" thickBot="1" x14ac:dyDescent="0.3">
      <c r="A95" s="173"/>
      <c r="B95" s="165"/>
      <c r="C95" s="134" t="s">
        <v>246</v>
      </c>
      <c r="D95" s="37"/>
      <c r="E95" s="36"/>
      <c r="F95" s="47"/>
      <c r="G95" s="43"/>
      <c r="H95" s="42"/>
      <c r="I95" s="90"/>
      <c r="J95" s="43"/>
      <c r="K95" s="42"/>
      <c r="L95" s="41"/>
    </row>
    <row r="96" spans="1:12" ht="15" customHeight="1" x14ac:dyDescent="0.25">
      <c r="A96" s="173"/>
      <c r="B96" s="163" t="s">
        <v>63</v>
      </c>
      <c r="C96" s="32" t="s">
        <v>247</v>
      </c>
      <c r="D96" s="31" t="s">
        <v>8</v>
      </c>
      <c r="E96" s="30" t="s">
        <v>62</v>
      </c>
      <c r="F96" s="61">
        <v>4.5</v>
      </c>
      <c r="G96" s="59" t="s">
        <v>17</v>
      </c>
      <c r="H96" s="58" t="s">
        <v>62</v>
      </c>
      <c r="I96" s="60">
        <v>4.5</v>
      </c>
      <c r="J96" s="59" t="s">
        <v>18</v>
      </c>
      <c r="K96" s="58" t="s">
        <v>62</v>
      </c>
      <c r="L96" s="57">
        <f>$F$96+($F$96*45%)</f>
        <v>6.5250000000000004</v>
      </c>
    </row>
    <row r="97" spans="1:12" x14ac:dyDescent="0.25">
      <c r="A97" s="173"/>
      <c r="B97" s="164"/>
      <c r="C97" s="24" t="s">
        <v>61</v>
      </c>
      <c r="D97" s="14"/>
      <c r="E97" s="10"/>
      <c r="F97" s="21"/>
      <c r="G97" s="56" t="s">
        <v>17</v>
      </c>
      <c r="H97" s="49" t="s">
        <v>60</v>
      </c>
      <c r="I97" s="55">
        <v>4.5</v>
      </c>
      <c r="J97" s="54"/>
      <c r="K97" s="53"/>
      <c r="L97" s="52"/>
    </row>
    <row r="98" spans="1:12" x14ac:dyDescent="0.25">
      <c r="A98" s="173"/>
      <c r="B98" s="164"/>
      <c r="C98" s="24" t="s">
        <v>59</v>
      </c>
      <c r="D98" s="4" t="s">
        <v>8</v>
      </c>
      <c r="E98" s="9" t="s">
        <v>58</v>
      </c>
      <c r="F98" s="15">
        <v>3</v>
      </c>
      <c r="G98" s="50" t="s">
        <v>17</v>
      </c>
      <c r="H98" s="49" t="s">
        <v>58</v>
      </c>
      <c r="I98" s="51">
        <v>3</v>
      </c>
      <c r="J98" s="50" t="s">
        <v>18</v>
      </c>
      <c r="K98" s="49" t="s">
        <v>58</v>
      </c>
      <c r="L98" s="48">
        <f>$F$98+($F$98*45%)</f>
        <v>4.3499999999999996</v>
      </c>
    </row>
    <row r="99" spans="1:12" x14ac:dyDescent="0.25">
      <c r="A99" s="173"/>
      <c r="B99" s="164"/>
      <c r="C99" s="24" t="s">
        <v>57</v>
      </c>
      <c r="D99" s="14"/>
      <c r="E99" s="10"/>
      <c r="F99" s="21"/>
      <c r="G99" s="56" t="s">
        <v>17</v>
      </c>
      <c r="H99" s="49" t="s">
        <v>56</v>
      </c>
      <c r="I99" s="55">
        <v>3</v>
      </c>
      <c r="J99" s="54"/>
      <c r="K99" s="53"/>
      <c r="L99" s="52"/>
    </row>
    <row r="100" spans="1:12" x14ac:dyDescent="0.25">
      <c r="A100" s="173"/>
      <c r="B100" s="164"/>
      <c r="C100" s="24" t="s">
        <v>55</v>
      </c>
      <c r="D100" s="4" t="s">
        <v>8</v>
      </c>
      <c r="E100" s="9" t="s">
        <v>54</v>
      </c>
      <c r="F100" s="15">
        <v>3</v>
      </c>
      <c r="G100" s="50" t="s">
        <v>17</v>
      </c>
      <c r="H100" s="49" t="s">
        <v>54</v>
      </c>
      <c r="I100" s="51">
        <v>3</v>
      </c>
      <c r="J100" s="50" t="s">
        <v>18</v>
      </c>
      <c r="K100" s="49" t="s">
        <v>54</v>
      </c>
      <c r="L100" s="48">
        <f>$F$100+($F$100*45%)</f>
        <v>4.3499999999999996</v>
      </c>
    </row>
    <row r="101" spans="1:12" ht="15.75" thickBot="1" x14ac:dyDescent="0.3">
      <c r="A101" s="173"/>
      <c r="B101" s="165"/>
      <c r="C101" s="39" t="s">
        <v>53</v>
      </c>
      <c r="D101" s="37"/>
      <c r="E101" s="36"/>
      <c r="F101" s="47"/>
      <c r="G101" s="46" t="s">
        <v>17</v>
      </c>
      <c r="H101" s="45" t="s">
        <v>52</v>
      </c>
      <c r="I101" s="44">
        <v>3</v>
      </c>
      <c r="J101" s="43"/>
      <c r="K101" s="42"/>
      <c r="L101" s="41"/>
    </row>
    <row r="102" spans="1:12" x14ac:dyDescent="0.25">
      <c r="A102" s="173"/>
      <c r="B102" s="161" t="s">
        <v>51</v>
      </c>
      <c r="C102" s="32" t="s">
        <v>248</v>
      </c>
      <c r="D102" s="31" t="s">
        <v>8</v>
      </c>
      <c r="E102" s="30" t="s">
        <v>50</v>
      </c>
      <c r="F102" s="29">
        <v>10</v>
      </c>
      <c r="G102" s="27"/>
      <c r="H102" s="26"/>
      <c r="I102" s="28"/>
      <c r="J102" s="31" t="s">
        <v>18</v>
      </c>
      <c r="K102" s="30" t="s">
        <v>50</v>
      </c>
      <c r="L102" s="40">
        <f>$F$102+($F$102*45%)</f>
        <v>14.5</v>
      </c>
    </row>
    <row r="103" spans="1:12" ht="15.75" thickBot="1" x14ac:dyDescent="0.3">
      <c r="A103" s="173"/>
      <c r="B103" s="162"/>
      <c r="C103" s="39" t="s">
        <v>49</v>
      </c>
      <c r="D103" s="5" t="s">
        <v>8</v>
      </c>
      <c r="E103" s="34" t="s">
        <v>48</v>
      </c>
      <c r="F103" s="38">
        <v>1</v>
      </c>
      <c r="G103" s="37"/>
      <c r="H103" s="36"/>
      <c r="I103" s="35"/>
      <c r="J103" s="5" t="s">
        <v>18</v>
      </c>
      <c r="K103" s="34" t="s">
        <v>48</v>
      </c>
      <c r="L103" s="33">
        <f>$F$103+($F$103*45%)</f>
        <v>1.45</v>
      </c>
    </row>
    <row r="104" spans="1:12" ht="15" customHeight="1" x14ac:dyDescent="0.25">
      <c r="A104" s="173"/>
      <c r="B104" s="163" t="s">
        <v>47</v>
      </c>
      <c r="C104" s="32" t="s">
        <v>46</v>
      </c>
      <c r="D104" s="31" t="s">
        <v>8</v>
      </c>
      <c r="E104" s="30" t="s">
        <v>45</v>
      </c>
      <c r="F104" s="29">
        <v>25</v>
      </c>
      <c r="G104" s="27"/>
      <c r="H104" s="26"/>
      <c r="I104" s="28"/>
      <c r="J104" s="89" t="s">
        <v>18</v>
      </c>
      <c r="K104" s="30" t="s">
        <v>45</v>
      </c>
      <c r="L104" s="159">
        <f>$F$104+($F$104*45%)</f>
        <v>36.25</v>
      </c>
    </row>
    <row r="105" spans="1:12" x14ac:dyDescent="0.25">
      <c r="A105" s="173"/>
      <c r="B105" s="164"/>
      <c r="C105" s="24" t="s">
        <v>44</v>
      </c>
      <c r="D105" s="4" t="s">
        <v>8</v>
      </c>
      <c r="E105" s="9" t="s">
        <v>43</v>
      </c>
      <c r="F105" s="15">
        <v>33</v>
      </c>
      <c r="G105" s="14"/>
      <c r="H105" s="10"/>
      <c r="I105" s="13"/>
      <c r="J105" s="20" t="s">
        <v>18</v>
      </c>
      <c r="K105" s="9" t="s">
        <v>43</v>
      </c>
      <c r="L105" s="160">
        <f>$F$105+($F$105*45%)</f>
        <v>47.85</v>
      </c>
    </row>
    <row r="106" spans="1:12" x14ac:dyDescent="0.25">
      <c r="A106" s="173"/>
      <c r="B106" s="164"/>
      <c r="C106" s="24" t="s">
        <v>42</v>
      </c>
      <c r="D106" s="4" t="s">
        <v>8</v>
      </c>
      <c r="E106" s="9" t="s">
        <v>41</v>
      </c>
      <c r="F106" s="18">
        <v>43</v>
      </c>
      <c r="G106" s="20" t="s">
        <v>17</v>
      </c>
      <c r="H106" s="9" t="s">
        <v>41</v>
      </c>
      <c r="I106" s="19">
        <f>$F$106+($F$106*45%)</f>
        <v>62.35</v>
      </c>
      <c r="J106" s="20" t="s">
        <v>18</v>
      </c>
      <c r="K106" s="9" t="s">
        <v>41</v>
      </c>
      <c r="L106" s="154">
        <f>$F$106+($F$106*45%)</f>
        <v>62.35</v>
      </c>
    </row>
    <row r="107" spans="1:12" x14ac:dyDescent="0.25">
      <c r="A107" s="173"/>
      <c r="B107" s="164"/>
      <c r="C107" s="24" t="s">
        <v>40</v>
      </c>
      <c r="D107" s="14"/>
      <c r="E107" s="10"/>
      <c r="F107" s="21"/>
      <c r="G107" s="20" t="s">
        <v>17</v>
      </c>
      <c r="H107" s="9" t="s">
        <v>39</v>
      </c>
      <c r="I107" s="19">
        <f>$F$106+($F$106*30%)</f>
        <v>55.9</v>
      </c>
      <c r="J107" s="14"/>
      <c r="K107" s="10"/>
      <c r="L107" s="17"/>
    </row>
    <row r="108" spans="1:12" x14ac:dyDescent="0.25">
      <c r="A108" s="173"/>
      <c r="B108" s="164"/>
      <c r="C108" s="24" t="s">
        <v>38</v>
      </c>
      <c r="D108" s="4" t="s">
        <v>8</v>
      </c>
      <c r="E108" s="9" t="s">
        <v>37</v>
      </c>
      <c r="F108" s="15">
        <v>51</v>
      </c>
      <c r="G108" s="4" t="s">
        <v>17</v>
      </c>
      <c r="H108" s="9" t="s">
        <v>37</v>
      </c>
      <c r="I108" s="22">
        <f>$F$108+($F$108*45%)</f>
        <v>73.95</v>
      </c>
      <c r="J108" s="4" t="s">
        <v>18</v>
      </c>
      <c r="K108" s="9" t="s">
        <v>37</v>
      </c>
      <c r="L108" s="12">
        <f>$F$108+($F$108*45%)</f>
        <v>73.95</v>
      </c>
    </row>
    <row r="109" spans="1:12" x14ac:dyDescent="0.25">
      <c r="A109" s="173"/>
      <c r="B109" s="164"/>
      <c r="C109" s="24" t="s">
        <v>36</v>
      </c>
      <c r="D109" s="14"/>
      <c r="E109" s="10"/>
      <c r="F109" s="21"/>
      <c r="G109" s="20" t="s">
        <v>17</v>
      </c>
      <c r="H109" s="9" t="s">
        <v>35</v>
      </c>
      <c r="I109" s="19">
        <f>$F$108+($F$108*30%)</f>
        <v>66.3</v>
      </c>
      <c r="J109" s="14"/>
      <c r="K109" s="10"/>
      <c r="L109" s="17"/>
    </row>
    <row r="110" spans="1:12" x14ac:dyDescent="0.25">
      <c r="A110" s="173"/>
      <c r="B110" s="164"/>
      <c r="C110" s="24" t="s">
        <v>249</v>
      </c>
      <c r="D110" s="4" t="s">
        <v>8</v>
      </c>
      <c r="E110" s="9" t="s">
        <v>34</v>
      </c>
      <c r="F110" s="15">
        <v>15</v>
      </c>
      <c r="G110" s="14"/>
      <c r="H110" s="10"/>
      <c r="I110" s="13"/>
      <c r="J110" s="4" t="s">
        <v>18</v>
      </c>
      <c r="K110" s="9" t="s">
        <v>34</v>
      </c>
      <c r="L110" s="12">
        <f>$F$110+($F$110*45%)</f>
        <v>21.75</v>
      </c>
    </row>
    <row r="111" spans="1:12" x14ac:dyDescent="0.25">
      <c r="A111" s="173"/>
      <c r="B111" s="164"/>
      <c r="C111" s="24" t="s">
        <v>33</v>
      </c>
      <c r="D111" s="4" t="s">
        <v>8</v>
      </c>
      <c r="E111" s="9" t="s">
        <v>32</v>
      </c>
      <c r="F111" s="18">
        <v>6.75</v>
      </c>
      <c r="G111" s="14"/>
      <c r="H111" s="10"/>
      <c r="I111" s="13"/>
      <c r="J111" s="14"/>
      <c r="K111" s="10"/>
      <c r="L111" s="17"/>
    </row>
    <row r="112" spans="1:12" x14ac:dyDescent="0.25">
      <c r="A112" s="173"/>
      <c r="B112" s="164"/>
      <c r="C112" s="24" t="s">
        <v>31</v>
      </c>
      <c r="D112" s="4" t="s">
        <v>8</v>
      </c>
      <c r="E112" s="9" t="s">
        <v>30</v>
      </c>
      <c r="F112" s="18">
        <v>8.5</v>
      </c>
      <c r="G112" s="14"/>
      <c r="H112" s="10"/>
      <c r="I112" s="13"/>
      <c r="J112" s="14"/>
      <c r="K112" s="10"/>
      <c r="L112" s="17"/>
    </row>
    <row r="113" spans="1:12" x14ac:dyDescent="0.25">
      <c r="A113" s="173"/>
      <c r="B113" s="164"/>
      <c r="C113" s="24" t="s">
        <v>29</v>
      </c>
      <c r="D113" s="4" t="s">
        <v>8</v>
      </c>
      <c r="E113" s="9" t="s">
        <v>28</v>
      </c>
      <c r="F113" s="15">
        <v>4</v>
      </c>
      <c r="G113" s="14"/>
      <c r="H113" s="10"/>
      <c r="I113" s="13"/>
      <c r="J113" s="4" t="s">
        <v>18</v>
      </c>
      <c r="K113" s="9" t="s">
        <v>28</v>
      </c>
      <c r="L113" s="12">
        <f>$F$113+($F$113*45%)</f>
        <v>5.8</v>
      </c>
    </row>
    <row r="114" spans="1:12" x14ac:dyDescent="0.25">
      <c r="A114" s="173"/>
      <c r="B114" s="164"/>
      <c r="C114" s="24" t="s">
        <v>27</v>
      </c>
      <c r="D114" s="4" t="s">
        <v>8</v>
      </c>
      <c r="E114" s="9" t="s">
        <v>26</v>
      </c>
      <c r="F114" s="15">
        <v>4</v>
      </c>
      <c r="G114" s="14"/>
      <c r="H114" s="10"/>
      <c r="I114" s="13"/>
      <c r="J114" s="4" t="s">
        <v>18</v>
      </c>
      <c r="K114" s="9" t="s">
        <v>26</v>
      </c>
      <c r="L114" s="12">
        <f>$F$114+($F$114*45%)</f>
        <v>5.8</v>
      </c>
    </row>
    <row r="115" spans="1:12" x14ac:dyDescent="0.25">
      <c r="A115" s="173"/>
      <c r="B115" s="164"/>
      <c r="C115" s="24" t="s">
        <v>25</v>
      </c>
      <c r="D115" s="4" t="s">
        <v>8</v>
      </c>
      <c r="E115" s="9" t="s">
        <v>24</v>
      </c>
      <c r="F115" s="15">
        <v>0.8</v>
      </c>
      <c r="G115" s="14"/>
      <c r="H115" s="10"/>
      <c r="I115" s="13"/>
      <c r="J115" s="4" t="s">
        <v>18</v>
      </c>
      <c r="K115" s="9" t="s">
        <v>24</v>
      </c>
      <c r="L115" s="12">
        <f>$F$115+($F$115*45%)</f>
        <v>1.1600000000000001</v>
      </c>
    </row>
    <row r="116" spans="1:12" x14ac:dyDescent="0.25">
      <c r="A116" s="173"/>
      <c r="B116" s="164"/>
      <c r="C116" s="24" t="s">
        <v>250</v>
      </c>
      <c r="D116" s="4" t="s">
        <v>8</v>
      </c>
      <c r="E116" s="9" t="s">
        <v>23</v>
      </c>
      <c r="F116" s="15">
        <v>6</v>
      </c>
      <c r="G116" s="14"/>
      <c r="H116" s="10"/>
      <c r="I116" s="13"/>
      <c r="J116" s="4" t="s">
        <v>18</v>
      </c>
      <c r="K116" s="9" t="s">
        <v>23</v>
      </c>
      <c r="L116" s="12">
        <f>$F$116+($F$116*45%)</f>
        <v>8.6999999999999993</v>
      </c>
    </row>
    <row r="117" spans="1:12" ht="15.75" thickBot="1" x14ac:dyDescent="0.3">
      <c r="A117" s="174"/>
      <c r="B117" s="165"/>
      <c r="C117" s="24" t="s">
        <v>251</v>
      </c>
      <c r="D117" s="4" t="s">
        <v>8</v>
      </c>
      <c r="E117" s="9" t="s">
        <v>22</v>
      </c>
      <c r="F117" s="15">
        <v>9</v>
      </c>
      <c r="G117" s="14"/>
      <c r="H117" s="10"/>
      <c r="I117" s="13"/>
      <c r="J117" s="4" t="s">
        <v>18</v>
      </c>
      <c r="K117" s="9" t="s">
        <v>22</v>
      </c>
      <c r="L117" s="12">
        <f>$F$117+($F$117*45%)</f>
        <v>13.05</v>
      </c>
    </row>
    <row r="118" spans="1:12" x14ac:dyDescent="0.25">
      <c r="G118" s="7"/>
      <c r="H118" s="7"/>
      <c r="I118" s="2"/>
      <c r="J118" s="7"/>
      <c r="K118" s="7"/>
      <c r="L118" s="2"/>
    </row>
  </sheetData>
  <mergeCells count="30">
    <mergeCell ref="D1:F1"/>
    <mergeCell ref="G1:I1"/>
    <mergeCell ref="J1:L1"/>
    <mergeCell ref="D2:F2"/>
    <mergeCell ref="G2:I2"/>
    <mergeCell ref="J2:L2"/>
    <mergeCell ref="B59:B63"/>
    <mergeCell ref="D3:F3"/>
    <mergeCell ref="G3:I3"/>
    <mergeCell ref="J3:L3"/>
    <mergeCell ref="A5:A117"/>
    <mergeCell ref="B5:B8"/>
    <mergeCell ref="B9:B12"/>
    <mergeCell ref="B13:B14"/>
    <mergeCell ref="B15:B16"/>
    <mergeCell ref="B17:B22"/>
    <mergeCell ref="B23:B27"/>
    <mergeCell ref="B28:B32"/>
    <mergeCell ref="B33:B36"/>
    <mergeCell ref="B37:B45"/>
    <mergeCell ref="B46:B53"/>
    <mergeCell ref="B54:B58"/>
    <mergeCell ref="B102:B103"/>
    <mergeCell ref="B104:B117"/>
    <mergeCell ref="B64:B70"/>
    <mergeCell ref="B71:B74"/>
    <mergeCell ref="B75:B78"/>
    <mergeCell ref="B79:B90"/>
    <mergeCell ref="B91:B95"/>
    <mergeCell ref="B96:B101"/>
  </mergeCells>
  <printOptions horizontalCentered="1" verticalCentered="1"/>
  <pageMargins left="0" right="0.23622047244094491" top="0.59055118110236227" bottom="0" header="0.31496062992125984" footer="0"/>
  <pageSetup paperSize="9" scale="70" orientation="portrait" r:id="rId1"/>
  <headerFooter>
    <oddHeader>&amp;L&amp;G&amp;C&amp;"-,Negrita"&amp;14TARIFAS PRECIOS PULYCORT
-Precio Venta 1-&amp;R&amp;D</oddHeader>
    <oddFooter>&amp;R&amp;8Página &amp;P</oddFooter>
  </headerFooter>
  <rowBreaks count="1" manualBreakCount="1">
    <brk id="63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84 Otros Trabajos PV1 revisar</vt:lpstr>
      <vt:lpstr>'84 Otros Trabajos PV1 revisar'!Títulos_a_imprimir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Usuario6</cp:lastModifiedBy>
  <cp:lastPrinted>2026-03-25T17:49:20Z</cp:lastPrinted>
  <dcterms:created xsi:type="dcterms:W3CDTF">2006-09-16T00:00:00Z</dcterms:created>
  <dcterms:modified xsi:type="dcterms:W3CDTF">2026-03-26T12:24:05Z</dcterms:modified>
</cp:coreProperties>
</file>